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vins/Desktop/Fordham/Spring 2026/Algorithm Trading/AlgoSports23/"/>
    </mc:Choice>
  </mc:AlternateContent>
  <xr:revisionPtr revIDLastSave="0" documentId="13_ncr:1_{BD333052-39F4-0445-A626-2A09AE2C36FB}" xr6:coauthVersionLast="47" xr6:coauthVersionMax="47" xr10:uidLastSave="{00000000-0000-0000-0000-000000000000}"/>
  <bookViews>
    <workbookView xWindow="0" yWindow="660" windowWidth="34560" windowHeight="19820" xr2:uid="{CB2B4956-49DE-43B5-B698-B6AA8B2E23FE}"/>
  </bookViews>
  <sheets>
    <sheet name="Power Function Model" sheetId="1" r:id="rId1"/>
    <sheet name="Rankings" sheetId="4" r:id="rId2"/>
    <sheet name="Predictions" sheetId="2" r:id="rId3"/>
  </sheets>
  <definedNames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'Power Function Model'!$P$6:$P$38</definedName>
    <definedName name="solver_lhs2" localSheetId="0" hidden="1">'Power Function Model'!$P$6:$P$38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3</definedName>
    <definedName name="solver_rhs1" localSheetId="0" hidden="1">'Power Function Model'!$R$6:$R$38</definedName>
    <definedName name="solver_rhs2" localSheetId="0" hidden="1">'Power Function Model'!$Q$6:$Q$38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H6" i="1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J17" i="2" l="1"/>
  <c r="I17" i="2"/>
  <c r="L17" i="2" s="1"/>
  <c r="K16" i="2"/>
  <c r="J16" i="2"/>
  <c r="I16" i="2"/>
  <c r="L16" i="2" s="1"/>
  <c r="K15" i="2"/>
  <c r="J15" i="2"/>
  <c r="I15" i="2"/>
  <c r="K14" i="2"/>
  <c r="J14" i="2"/>
  <c r="I14" i="2"/>
  <c r="L14" i="2" s="1"/>
  <c r="K13" i="2"/>
  <c r="J13" i="2"/>
  <c r="I13" i="2"/>
  <c r="L13" i="2" s="1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L7" i="2" s="1"/>
  <c r="K6" i="2"/>
  <c r="J6" i="2"/>
  <c r="I6" i="2"/>
  <c r="L6" i="2" s="1"/>
  <c r="K5" i="2"/>
  <c r="J5" i="2"/>
  <c r="I5" i="2"/>
  <c r="F277" i="1"/>
  <c r="Y277" i="1" s="1"/>
  <c r="W276" i="1"/>
  <c r="X276" i="1" s="1"/>
  <c r="F276" i="1"/>
  <c r="Y276" i="1" s="1"/>
  <c r="W275" i="1"/>
  <c r="X275" i="1" s="1"/>
  <c r="F275" i="1"/>
  <c r="Y275" i="1" s="1"/>
  <c r="W274" i="1"/>
  <c r="X274" i="1" s="1"/>
  <c r="F274" i="1"/>
  <c r="Y274" i="1" s="1"/>
  <c r="W273" i="1"/>
  <c r="X273" i="1" s="1"/>
  <c r="F273" i="1"/>
  <c r="Y273" i="1" s="1"/>
  <c r="F272" i="1"/>
  <c r="Y272" i="1" s="1"/>
  <c r="W271" i="1"/>
  <c r="X271" i="1" s="1"/>
  <c r="F271" i="1"/>
  <c r="Y271" i="1" s="1"/>
  <c r="W270" i="1"/>
  <c r="X270" i="1" s="1"/>
  <c r="F270" i="1"/>
  <c r="Y270" i="1" s="1"/>
  <c r="W269" i="1"/>
  <c r="X269" i="1" s="1"/>
  <c r="F269" i="1"/>
  <c r="Y269" i="1" s="1"/>
  <c r="W268" i="1"/>
  <c r="X268" i="1" s="1"/>
  <c r="F268" i="1"/>
  <c r="Y268" i="1" s="1"/>
  <c r="F267" i="1"/>
  <c r="Y267" i="1" s="1"/>
  <c r="W266" i="1"/>
  <c r="X266" i="1" s="1"/>
  <c r="F266" i="1"/>
  <c r="Y266" i="1" s="1"/>
  <c r="W265" i="1"/>
  <c r="X265" i="1" s="1"/>
  <c r="F265" i="1"/>
  <c r="Y265" i="1" s="1"/>
  <c r="W264" i="1"/>
  <c r="X264" i="1" s="1"/>
  <c r="F264" i="1"/>
  <c r="Y264" i="1" s="1"/>
  <c r="W263" i="1"/>
  <c r="X263" i="1" s="1"/>
  <c r="F263" i="1"/>
  <c r="Y263" i="1" s="1"/>
  <c r="F262" i="1"/>
  <c r="Y262" i="1" s="1"/>
  <c r="W261" i="1"/>
  <c r="X261" i="1" s="1"/>
  <c r="F261" i="1"/>
  <c r="Y261" i="1" s="1"/>
  <c r="W260" i="1"/>
  <c r="X260" i="1" s="1"/>
  <c r="F260" i="1"/>
  <c r="Y260" i="1" s="1"/>
  <c r="W259" i="1"/>
  <c r="X259" i="1" s="1"/>
  <c r="F259" i="1"/>
  <c r="Y259" i="1" s="1"/>
  <c r="W258" i="1"/>
  <c r="X258" i="1" s="1"/>
  <c r="F258" i="1"/>
  <c r="Y258" i="1" s="1"/>
  <c r="F257" i="1"/>
  <c r="Y257" i="1" s="1"/>
  <c r="W256" i="1"/>
  <c r="X256" i="1" s="1"/>
  <c r="F256" i="1"/>
  <c r="Y256" i="1" s="1"/>
  <c r="W255" i="1"/>
  <c r="X255" i="1" s="1"/>
  <c r="F255" i="1"/>
  <c r="Y255" i="1" s="1"/>
  <c r="W254" i="1"/>
  <c r="X254" i="1" s="1"/>
  <c r="F254" i="1"/>
  <c r="Y254" i="1" s="1"/>
  <c r="W253" i="1"/>
  <c r="X253" i="1" s="1"/>
  <c r="F253" i="1"/>
  <c r="Y253" i="1" s="1"/>
  <c r="F252" i="1"/>
  <c r="Y252" i="1" s="1"/>
  <c r="W251" i="1"/>
  <c r="X251" i="1" s="1"/>
  <c r="F251" i="1"/>
  <c r="Y251" i="1" s="1"/>
  <c r="W250" i="1"/>
  <c r="X250" i="1" s="1"/>
  <c r="F250" i="1"/>
  <c r="Y250" i="1" s="1"/>
  <c r="W249" i="1"/>
  <c r="X249" i="1" s="1"/>
  <c r="F249" i="1"/>
  <c r="Y249" i="1" s="1"/>
  <c r="W248" i="1"/>
  <c r="X248" i="1" s="1"/>
  <c r="F248" i="1"/>
  <c r="Y248" i="1" s="1"/>
  <c r="F247" i="1"/>
  <c r="Y247" i="1" s="1"/>
  <c r="W246" i="1"/>
  <c r="X246" i="1" s="1"/>
  <c r="F246" i="1"/>
  <c r="Y246" i="1" s="1"/>
  <c r="W245" i="1"/>
  <c r="X245" i="1" s="1"/>
  <c r="F245" i="1"/>
  <c r="Y245" i="1" s="1"/>
  <c r="W244" i="1"/>
  <c r="X244" i="1" s="1"/>
  <c r="F244" i="1"/>
  <c r="Y244" i="1" s="1"/>
  <c r="W243" i="1"/>
  <c r="X243" i="1" s="1"/>
  <c r="F243" i="1"/>
  <c r="Y243" i="1" s="1"/>
  <c r="F242" i="1"/>
  <c r="Y242" i="1" s="1"/>
  <c r="W241" i="1"/>
  <c r="X241" i="1" s="1"/>
  <c r="F241" i="1"/>
  <c r="Y241" i="1" s="1"/>
  <c r="W240" i="1"/>
  <c r="X240" i="1" s="1"/>
  <c r="F240" i="1"/>
  <c r="Y240" i="1" s="1"/>
  <c r="W239" i="1"/>
  <c r="X239" i="1" s="1"/>
  <c r="F239" i="1"/>
  <c r="Y239" i="1" s="1"/>
  <c r="W238" i="1"/>
  <c r="X238" i="1" s="1"/>
  <c r="F238" i="1"/>
  <c r="Y238" i="1" s="1"/>
  <c r="F237" i="1"/>
  <c r="Y237" i="1" s="1"/>
  <c r="W236" i="1"/>
  <c r="X236" i="1" s="1"/>
  <c r="F236" i="1"/>
  <c r="Y236" i="1" s="1"/>
  <c r="W235" i="1"/>
  <c r="X235" i="1" s="1"/>
  <c r="F235" i="1"/>
  <c r="Y235" i="1" s="1"/>
  <c r="W234" i="1"/>
  <c r="X234" i="1" s="1"/>
  <c r="F234" i="1"/>
  <c r="Y234" i="1" s="1"/>
  <c r="W233" i="1"/>
  <c r="X233" i="1" s="1"/>
  <c r="F233" i="1"/>
  <c r="Y233" i="1" s="1"/>
  <c r="F232" i="1"/>
  <c r="Y232" i="1" s="1"/>
  <c r="W231" i="1"/>
  <c r="X231" i="1" s="1"/>
  <c r="F231" i="1"/>
  <c r="Y231" i="1" s="1"/>
  <c r="W230" i="1"/>
  <c r="X230" i="1" s="1"/>
  <c r="F230" i="1"/>
  <c r="Y230" i="1" s="1"/>
  <c r="W229" i="1"/>
  <c r="X229" i="1" s="1"/>
  <c r="F229" i="1"/>
  <c r="Y229" i="1" s="1"/>
  <c r="W228" i="1"/>
  <c r="X228" i="1" s="1"/>
  <c r="F228" i="1"/>
  <c r="Y228" i="1" s="1"/>
  <c r="F227" i="1"/>
  <c r="Y227" i="1" s="1"/>
  <c r="W226" i="1"/>
  <c r="X226" i="1" s="1"/>
  <c r="F226" i="1"/>
  <c r="Y226" i="1" s="1"/>
  <c r="W225" i="1"/>
  <c r="X225" i="1" s="1"/>
  <c r="F225" i="1"/>
  <c r="Y225" i="1" s="1"/>
  <c r="W224" i="1"/>
  <c r="X224" i="1" s="1"/>
  <c r="F224" i="1"/>
  <c r="Y224" i="1" s="1"/>
  <c r="W223" i="1"/>
  <c r="X223" i="1" s="1"/>
  <c r="F223" i="1"/>
  <c r="Y223" i="1" s="1"/>
  <c r="F222" i="1"/>
  <c r="Y222" i="1" s="1"/>
  <c r="W221" i="1"/>
  <c r="X221" i="1" s="1"/>
  <c r="F221" i="1"/>
  <c r="Y221" i="1" s="1"/>
  <c r="W220" i="1"/>
  <c r="X220" i="1" s="1"/>
  <c r="F220" i="1"/>
  <c r="Y220" i="1" s="1"/>
  <c r="W219" i="1"/>
  <c r="X219" i="1" s="1"/>
  <c r="F219" i="1"/>
  <c r="Y219" i="1" s="1"/>
  <c r="W218" i="1"/>
  <c r="X218" i="1" s="1"/>
  <c r="F218" i="1"/>
  <c r="Y218" i="1" s="1"/>
  <c r="F217" i="1"/>
  <c r="Y217" i="1" s="1"/>
  <c r="W216" i="1"/>
  <c r="X216" i="1" s="1"/>
  <c r="F216" i="1"/>
  <c r="Y216" i="1" s="1"/>
  <c r="W215" i="1"/>
  <c r="X215" i="1" s="1"/>
  <c r="F215" i="1"/>
  <c r="Y215" i="1" s="1"/>
  <c r="W214" i="1"/>
  <c r="X214" i="1" s="1"/>
  <c r="F214" i="1"/>
  <c r="Y214" i="1" s="1"/>
  <c r="W213" i="1"/>
  <c r="X213" i="1" s="1"/>
  <c r="F213" i="1"/>
  <c r="Y213" i="1" s="1"/>
  <c r="F212" i="1"/>
  <c r="Y212" i="1" s="1"/>
  <c r="W211" i="1"/>
  <c r="X211" i="1" s="1"/>
  <c r="F211" i="1"/>
  <c r="Y211" i="1" s="1"/>
  <c r="W210" i="1"/>
  <c r="X210" i="1" s="1"/>
  <c r="F210" i="1"/>
  <c r="Y210" i="1" s="1"/>
  <c r="W209" i="1"/>
  <c r="X209" i="1" s="1"/>
  <c r="F209" i="1"/>
  <c r="Y209" i="1" s="1"/>
  <c r="W208" i="1"/>
  <c r="X208" i="1" s="1"/>
  <c r="F208" i="1"/>
  <c r="Y208" i="1" s="1"/>
  <c r="F207" i="1"/>
  <c r="Y207" i="1" s="1"/>
  <c r="W206" i="1"/>
  <c r="X206" i="1" s="1"/>
  <c r="F206" i="1"/>
  <c r="Y206" i="1" s="1"/>
  <c r="W205" i="1"/>
  <c r="X205" i="1" s="1"/>
  <c r="F205" i="1"/>
  <c r="Y205" i="1" s="1"/>
  <c r="W204" i="1"/>
  <c r="X204" i="1" s="1"/>
  <c r="F204" i="1"/>
  <c r="Y204" i="1" s="1"/>
  <c r="W203" i="1"/>
  <c r="X203" i="1" s="1"/>
  <c r="F203" i="1"/>
  <c r="Y203" i="1" s="1"/>
  <c r="F202" i="1"/>
  <c r="Y202" i="1" s="1"/>
  <c r="W201" i="1"/>
  <c r="X201" i="1" s="1"/>
  <c r="F201" i="1"/>
  <c r="Y201" i="1" s="1"/>
  <c r="W200" i="1"/>
  <c r="X200" i="1" s="1"/>
  <c r="F200" i="1"/>
  <c r="Y200" i="1" s="1"/>
  <c r="W199" i="1"/>
  <c r="X199" i="1" s="1"/>
  <c r="F199" i="1"/>
  <c r="Y199" i="1" s="1"/>
  <c r="W198" i="1"/>
  <c r="X198" i="1" s="1"/>
  <c r="F198" i="1"/>
  <c r="Y198" i="1" s="1"/>
  <c r="F197" i="1"/>
  <c r="Y197" i="1" s="1"/>
  <c r="W196" i="1"/>
  <c r="X196" i="1" s="1"/>
  <c r="F196" i="1"/>
  <c r="Y196" i="1" s="1"/>
  <c r="W195" i="1"/>
  <c r="X195" i="1" s="1"/>
  <c r="F195" i="1"/>
  <c r="Y195" i="1" s="1"/>
  <c r="W194" i="1"/>
  <c r="X194" i="1" s="1"/>
  <c r="F194" i="1"/>
  <c r="Y194" i="1" s="1"/>
  <c r="W193" i="1"/>
  <c r="X193" i="1" s="1"/>
  <c r="F193" i="1"/>
  <c r="Y193" i="1" s="1"/>
  <c r="F192" i="1"/>
  <c r="Y192" i="1" s="1"/>
  <c r="W191" i="1"/>
  <c r="X191" i="1" s="1"/>
  <c r="F191" i="1"/>
  <c r="Y191" i="1" s="1"/>
  <c r="W190" i="1"/>
  <c r="X190" i="1" s="1"/>
  <c r="F190" i="1"/>
  <c r="Y190" i="1" s="1"/>
  <c r="W189" i="1"/>
  <c r="X189" i="1" s="1"/>
  <c r="F189" i="1"/>
  <c r="Y189" i="1" s="1"/>
  <c r="W188" i="1"/>
  <c r="X188" i="1" s="1"/>
  <c r="F188" i="1"/>
  <c r="Y188" i="1" s="1"/>
  <c r="F187" i="1"/>
  <c r="Y187" i="1" s="1"/>
  <c r="W186" i="1"/>
  <c r="X186" i="1" s="1"/>
  <c r="F186" i="1"/>
  <c r="Y186" i="1" s="1"/>
  <c r="W185" i="1"/>
  <c r="X185" i="1" s="1"/>
  <c r="F185" i="1"/>
  <c r="Y185" i="1" s="1"/>
  <c r="W184" i="1"/>
  <c r="X184" i="1" s="1"/>
  <c r="F184" i="1"/>
  <c r="Y184" i="1" s="1"/>
  <c r="W183" i="1"/>
  <c r="X183" i="1" s="1"/>
  <c r="F183" i="1"/>
  <c r="Y183" i="1" s="1"/>
  <c r="F182" i="1"/>
  <c r="Y182" i="1" s="1"/>
  <c r="W181" i="1"/>
  <c r="X181" i="1" s="1"/>
  <c r="F181" i="1"/>
  <c r="Y181" i="1" s="1"/>
  <c r="W180" i="1"/>
  <c r="X180" i="1" s="1"/>
  <c r="F180" i="1"/>
  <c r="Y180" i="1" s="1"/>
  <c r="W179" i="1"/>
  <c r="X179" i="1" s="1"/>
  <c r="F179" i="1"/>
  <c r="Y179" i="1" s="1"/>
  <c r="W178" i="1"/>
  <c r="X178" i="1" s="1"/>
  <c r="F178" i="1"/>
  <c r="Y178" i="1" s="1"/>
  <c r="F177" i="1"/>
  <c r="Y177" i="1" s="1"/>
  <c r="W176" i="1"/>
  <c r="X176" i="1" s="1"/>
  <c r="F176" i="1"/>
  <c r="Y176" i="1" s="1"/>
  <c r="W175" i="1"/>
  <c r="X175" i="1" s="1"/>
  <c r="F175" i="1"/>
  <c r="Y175" i="1" s="1"/>
  <c r="W174" i="1"/>
  <c r="X174" i="1" s="1"/>
  <c r="F174" i="1"/>
  <c r="Y174" i="1" s="1"/>
  <c r="W173" i="1"/>
  <c r="X173" i="1" s="1"/>
  <c r="F173" i="1"/>
  <c r="Y173" i="1" s="1"/>
  <c r="F172" i="1"/>
  <c r="Y172" i="1" s="1"/>
  <c r="W171" i="1"/>
  <c r="X171" i="1" s="1"/>
  <c r="F171" i="1"/>
  <c r="Y171" i="1" s="1"/>
  <c r="W170" i="1"/>
  <c r="X170" i="1" s="1"/>
  <c r="F170" i="1"/>
  <c r="Y170" i="1" s="1"/>
  <c r="W169" i="1"/>
  <c r="X169" i="1" s="1"/>
  <c r="F169" i="1"/>
  <c r="Y169" i="1" s="1"/>
  <c r="W168" i="1"/>
  <c r="X168" i="1" s="1"/>
  <c r="F168" i="1"/>
  <c r="Y168" i="1" s="1"/>
  <c r="F167" i="1"/>
  <c r="Y167" i="1" s="1"/>
  <c r="W166" i="1"/>
  <c r="X166" i="1" s="1"/>
  <c r="F166" i="1"/>
  <c r="Y166" i="1" s="1"/>
  <c r="W165" i="1"/>
  <c r="X165" i="1" s="1"/>
  <c r="F165" i="1"/>
  <c r="Y165" i="1" s="1"/>
  <c r="W164" i="1"/>
  <c r="X164" i="1" s="1"/>
  <c r="F164" i="1"/>
  <c r="Y164" i="1" s="1"/>
  <c r="W163" i="1"/>
  <c r="X163" i="1" s="1"/>
  <c r="F163" i="1"/>
  <c r="Y163" i="1" s="1"/>
  <c r="F162" i="1"/>
  <c r="Y162" i="1" s="1"/>
  <c r="W161" i="1"/>
  <c r="X161" i="1" s="1"/>
  <c r="F161" i="1"/>
  <c r="Y161" i="1" s="1"/>
  <c r="W160" i="1"/>
  <c r="X160" i="1" s="1"/>
  <c r="F160" i="1"/>
  <c r="Y160" i="1" s="1"/>
  <c r="W159" i="1"/>
  <c r="X159" i="1" s="1"/>
  <c r="F159" i="1"/>
  <c r="Y159" i="1" s="1"/>
  <c r="W158" i="1"/>
  <c r="X158" i="1" s="1"/>
  <c r="F158" i="1"/>
  <c r="Y158" i="1" s="1"/>
  <c r="F157" i="1"/>
  <c r="Y157" i="1" s="1"/>
  <c r="W156" i="1"/>
  <c r="X156" i="1" s="1"/>
  <c r="F156" i="1"/>
  <c r="Y156" i="1" s="1"/>
  <c r="W155" i="1"/>
  <c r="X155" i="1" s="1"/>
  <c r="F155" i="1"/>
  <c r="Y155" i="1" s="1"/>
  <c r="W154" i="1"/>
  <c r="X154" i="1" s="1"/>
  <c r="F154" i="1"/>
  <c r="Y154" i="1" s="1"/>
  <c r="W153" i="1"/>
  <c r="X153" i="1" s="1"/>
  <c r="F153" i="1"/>
  <c r="Y153" i="1" s="1"/>
  <c r="F152" i="1"/>
  <c r="Y152" i="1" s="1"/>
  <c r="W151" i="1"/>
  <c r="X151" i="1" s="1"/>
  <c r="F151" i="1"/>
  <c r="Y151" i="1" s="1"/>
  <c r="W150" i="1"/>
  <c r="X150" i="1" s="1"/>
  <c r="F150" i="1"/>
  <c r="Y150" i="1" s="1"/>
  <c r="W149" i="1"/>
  <c r="X149" i="1" s="1"/>
  <c r="F149" i="1"/>
  <c r="Y149" i="1" s="1"/>
  <c r="W148" i="1"/>
  <c r="X148" i="1" s="1"/>
  <c r="F148" i="1"/>
  <c r="Y148" i="1" s="1"/>
  <c r="F147" i="1"/>
  <c r="Y147" i="1" s="1"/>
  <c r="W146" i="1"/>
  <c r="X146" i="1" s="1"/>
  <c r="F146" i="1"/>
  <c r="Y146" i="1" s="1"/>
  <c r="W145" i="1"/>
  <c r="X145" i="1" s="1"/>
  <c r="F145" i="1"/>
  <c r="Y145" i="1" s="1"/>
  <c r="W144" i="1"/>
  <c r="X144" i="1" s="1"/>
  <c r="F144" i="1"/>
  <c r="Y144" i="1" s="1"/>
  <c r="W143" i="1"/>
  <c r="X143" i="1" s="1"/>
  <c r="F143" i="1"/>
  <c r="Y143" i="1" s="1"/>
  <c r="F142" i="1"/>
  <c r="Y142" i="1" s="1"/>
  <c r="W141" i="1"/>
  <c r="X141" i="1" s="1"/>
  <c r="F141" i="1"/>
  <c r="Y141" i="1" s="1"/>
  <c r="W140" i="1"/>
  <c r="X140" i="1" s="1"/>
  <c r="F140" i="1"/>
  <c r="Y140" i="1" s="1"/>
  <c r="W139" i="1"/>
  <c r="X139" i="1" s="1"/>
  <c r="F139" i="1"/>
  <c r="Y139" i="1" s="1"/>
  <c r="W138" i="1"/>
  <c r="X138" i="1" s="1"/>
  <c r="F138" i="1"/>
  <c r="Y138" i="1" s="1"/>
  <c r="F137" i="1"/>
  <c r="Y137" i="1" s="1"/>
  <c r="W136" i="1"/>
  <c r="X136" i="1" s="1"/>
  <c r="F136" i="1"/>
  <c r="Y136" i="1" s="1"/>
  <c r="W135" i="1"/>
  <c r="X135" i="1" s="1"/>
  <c r="F135" i="1"/>
  <c r="Y135" i="1" s="1"/>
  <c r="W134" i="1"/>
  <c r="X134" i="1" s="1"/>
  <c r="F134" i="1"/>
  <c r="Y134" i="1" s="1"/>
  <c r="W133" i="1"/>
  <c r="X133" i="1" s="1"/>
  <c r="F133" i="1"/>
  <c r="Y133" i="1" s="1"/>
  <c r="F132" i="1"/>
  <c r="Y132" i="1" s="1"/>
  <c r="W131" i="1"/>
  <c r="X131" i="1" s="1"/>
  <c r="F131" i="1"/>
  <c r="Y131" i="1" s="1"/>
  <c r="W130" i="1"/>
  <c r="X130" i="1" s="1"/>
  <c r="F130" i="1"/>
  <c r="Y130" i="1" s="1"/>
  <c r="W129" i="1"/>
  <c r="X129" i="1" s="1"/>
  <c r="F129" i="1"/>
  <c r="Y129" i="1" s="1"/>
  <c r="W128" i="1"/>
  <c r="X128" i="1" s="1"/>
  <c r="F128" i="1"/>
  <c r="Y128" i="1" s="1"/>
  <c r="F127" i="1"/>
  <c r="Y127" i="1" s="1"/>
  <c r="W126" i="1"/>
  <c r="X126" i="1" s="1"/>
  <c r="F126" i="1"/>
  <c r="Y126" i="1" s="1"/>
  <c r="W125" i="1"/>
  <c r="X125" i="1" s="1"/>
  <c r="F125" i="1"/>
  <c r="Y125" i="1" s="1"/>
  <c r="W124" i="1"/>
  <c r="X124" i="1" s="1"/>
  <c r="F124" i="1"/>
  <c r="Y124" i="1" s="1"/>
  <c r="W123" i="1"/>
  <c r="X123" i="1" s="1"/>
  <c r="F123" i="1"/>
  <c r="Y123" i="1" s="1"/>
  <c r="F122" i="1"/>
  <c r="Y122" i="1" s="1"/>
  <c r="W121" i="1"/>
  <c r="X121" i="1" s="1"/>
  <c r="F121" i="1"/>
  <c r="Y121" i="1" s="1"/>
  <c r="W120" i="1"/>
  <c r="X120" i="1" s="1"/>
  <c r="F120" i="1"/>
  <c r="Y120" i="1" s="1"/>
  <c r="W119" i="1"/>
  <c r="X119" i="1" s="1"/>
  <c r="F119" i="1"/>
  <c r="Y119" i="1" s="1"/>
  <c r="W118" i="1"/>
  <c r="X118" i="1" s="1"/>
  <c r="F118" i="1"/>
  <c r="Y118" i="1" s="1"/>
  <c r="F117" i="1"/>
  <c r="Y117" i="1" s="1"/>
  <c r="W116" i="1"/>
  <c r="X116" i="1" s="1"/>
  <c r="F116" i="1"/>
  <c r="Y116" i="1" s="1"/>
  <c r="W115" i="1"/>
  <c r="X115" i="1" s="1"/>
  <c r="F115" i="1"/>
  <c r="Y115" i="1" s="1"/>
  <c r="W114" i="1"/>
  <c r="X114" i="1" s="1"/>
  <c r="F114" i="1"/>
  <c r="Y114" i="1" s="1"/>
  <c r="W113" i="1"/>
  <c r="X113" i="1" s="1"/>
  <c r="F113" i="1"/>
  <c r="Y113" i="1" s="1"/>
  <c r="F112" i="1"/>
  <c r="Y112" i="1" s="1"/>
  <c r="W111" i="1"/>
  <c r="X111" i="1" s="1"/>
  <c r="F111" i="1"/>
  <c r="Y111" i="1" s="1"/>
  <c r="W110" i="1"/>
  <c r="X110" i="1" s="1"/>
  <c r="F110" i="1"/>
  <c r="Y110" i="1" s="1"/>
  <c r="W109" i="1"/>
  <c r="X109" i="1" s="1"/>
  <c r="F109" i="1"/>
  <c r="Y109" i="1" s="1"/>
  <c r="W108" i="1"/>
  <c r="X108" i="1" s="1"/>
  <c r="F108" i="1"/>
  <c r="Y108" i="1" s="1"/>
  <c r="F107" i="1"/>
  <c r="Y107" i="1" s="1"/>
  <c r="W106" i="1"/>
  <c r="X106" i="1" s="1"/>
  <c r="F106" i="1"/>
  <c r="Y106" i="1" s="1"/>
  <c r="W105" i="1"/>
  <c r="X105" i="1" s="1"/>
  <c r="F105" i="1"/>
  <c r="Y105" i="1" s="1"/>
  <c r="W104" i="1"/>
  <c r="X104" i="1" s="1"/>
  <c r="F104" i="1"/>
  <c r="Y104" i="1" s="1"/>
  <c r="W103" i="1"/>
  <c r="X103" i="1" s="1"/>
  <c r="F103" i="1"/>
  <c r="Y103" i="1" s="1"/>
  <c r="F102" i="1"/>
  <c r="Y102" i="1" s="1"/>
  <c r="W101" i="1"/>
  <c r="X101" i="1" s="1"/>
  <c r="F101" i="1"/>
  <c r="Y101" i="1" s="1"/>
  <c r="W100" i="1"/>
  <c r="X100" i="1" s="1"/>
  <c r="F100" i="1"/>
  <c r="Y100" i="1" s="1"/>
  <c r="W99" i="1"/>
  <c r="X99" i="1" s="1"/>
  <c r="F99" i="1"/>
  <c r="Y99" i="1" s="1"/>
  <c r="W98" i="1"/>
  <c r="X98" i="1" s="1"/>
  <c r="F98" i="1"/>
  <c r="Y98" i="1" s="1"/>
  <c r="F97" i="1"/>
  <c r="Y97" i="1" s="1"/>
  <c r="W96" i="1"/>
  <c r="X96" i="1" s="1"/>
  <c r="F96" i="1"/>
  <c r="Y96" i="1" s="1"/>
  <c r="W95" i="1"/>
  <c r="X95" i="1" s="1"/>
  <c r="F95" i="1"/>
  <c r="Y95" i="1" s="1"/>
  <c r="W94" i="1"/>
  <c r="X94" i="1" s="1"/>
  <c r="F94" i="1"/>
  <c r="Y94" i="1" s="1"/>
  <c r="W93" i="1"/>
  <c r="X93" i="1" s="1"/>
  <c r="F93" i="1"/>
  <c r="Y93" i="1" s="1"/>
  <c r="F92" i="1"/>
  <c r="Y92" i="1" s="1"/>
  <c r="W91" i="1"/>
  <c r="X91" i="1" s="1"/>
  <c r="F91" i="1"/>
  <c r="Y91" i="1" s="1"/>
  <c r="W90" i="1"/>
  <c r="X90" i="1" s="1"/>
  <c r="F90" i="1"/>
  <c r="Y90" i="1" s="1"/>
  <c r="W89" i="1"/>
  <c r="X89" i="1" s="1"/>
  <c r="F89" i="1"/>
  <c r="Y89" i="1" s="1"/>
  <c r="W88" i="1"/>
  <c r="X88" i="1" s="1"/>
  <c r="F88" i="1"/>
  <c r="Y88" i="1" s="1"/>
  <c r="F87" i="1"/>
  <c r="Y87" i="1" s="1"/>
  <c r="W86" i="1"/>
  <c r="X86" i="1" s="1"/>
  <c r="F86" i="1"/>
  <c r="Y86" i="1" s="1"/>
  <c r="W85" i="1"/>
  <c r="X85" i="1" s="1"/>
  <c r="F85" i="1"/>
  <c r="Y85" i="1" s="1"/>
  <c r="W84" i="1"/>
  <c r="X84" i="1" s="1"/>
  <c r="F84" i="1"/>
  <c r="Y84" i="1" s="1"/>
  <c r="W83" i="1"/>
  <c r="X83" i="1" s="1"/>
  <c r="F83" i="1"/>
  <c r="Y83" i="1" s="1"/>
  <c r="F82" i="1"/>
  <c r="Y82" i="1" s="1"/>
  <c r="W81" i="1"/>
  <c r="X81" i="1" s="1"/>
  <c r="F81" i="1"/>
  <c r="Y81" i="1" s="1"/>
  <c r="W80" i="1"/>
  <c r="X80" i="1" s="1"/>
  <c r="F80" i="1"/>
  <c r="Y80" i="1" s="1"/>
  <c r="W79" i="1"/>
  <c r="X79" i="1" s="1"/>
  <c r="F79" i="1"/>
  <c r="Y79" i="1" s="1"/>
  <c r="W78" i="1"/>
  <c r="X78" i="1" s="1"/>
  <c r="F78" i="1"/>
  <c r="Y78" i="1" s="1"/>
  <c r="F77" i="1"/>
  <c r="Y77" i="1" s="1"/>
  <c r="W76" i="1"/>
  <c r="X76" i="1" s="1"/>
  <c r="F76" i="1"/>
  <c r="Y76" i="1" s="1"/>
  <c r="W75" i="1"/>
  <c r="X75" i="1" s="1"/>
  <c r="F75" i="1"/>
  <c r="Y75" i="1" s="1"/>
  <c r="W74" i="1"/>
  <c r="X74" i="1" s="1"/>
  <c r="F74" i="1"/>
  <c r="Y74" i="1" s="1"/>
  <c r="W73" i="1"/>
  <c r="X73" i="1" s="1"/>
  <c r="F73" i="1"/>
  <c r="Y73" i="1" s="1"/>
  <c r="F72" i="1"/>
  <c r="Y72" i="1" s="1"/>
  <c r="W71" i="1"/>
  <c r="X71" i="1" s="1"/>
  <c r="F71" i="1"/>
  <c r="Y71" i="1" s="1"/>
  <c r="W70" i="1"/>
  <c r="X70" i="1" s="1"/>
  <c r="F70" i="1"/>
  <c r="Y70" i="1" s="1"/>
  <c r="W69" i="1"/>
  <c r="X69" i="1" s="1"/>
  <c r="F69" i="1"/>
  <c r="Y69" i="1" s="1"/>
  <c r="W68" i="1"/>
  <c r="X68" i="1" s="1"/>
  <c r="F68" i="1"/>
  <c r="Y68" i="1" s="1"/>
  <c r="F67" i="1"/>
  <c r="Y67" i="1" s="1"/>
  <c r="W66" i="1"/>
  <c r="X66" i="1" s="1"/>
  <c r="F66" i="1"/>
  <c r="Y66" i="1" s="1"/>
  <c r="W65" i="1"/>
  <c r="X65" i="1" s="1"/>
  <c r="F65" i="1"/>
  <c r="Y65" i="1" s="1"/>
  <c r="W64" i="1"/>
  <c r="X64" i="1" s="1"/>
  <c r="F64" i="1"/>
  <c r="Y64" i="1" s="1"/>
  <c r="W63" i="1"/>
  <c r="X63" i="1" s="1"/>
  <c r="F63" i="1"/>
  <c r="Y63" i="1" s="1"/>
  <c r="F62" i="1"/>
  <c r="Y62" i="1" s="1"/>
  <c r="W61" i="1"/>
  <c r="X61" i="1" s="1"/>
  <c r="F61" i="1"/>
  <c r="Y61" i="1" s="1"/>
  <c r="W60" i="1"/>
  <c r="X60" i="1" s="1"/>
  <c r="F60" i="1"/>
  <c r="Y60" i="1" s="1"/>
  <c r="W59" i="1"/>
  <c r="X59" i="1" s="1"/>
  <c r="F59" i="1"/>
  <c r="Y59" i="1" s="1"/>
  <c r="W58" i="1"/>
  <c r="X58" i="1" s="1"/>
  <c r="F58" i="1"/>
  <c r="Y58" i="1" s="1"/>
  <c r="F57" i="1"/>
  <c r="Y57" i="1" s="1"/>
  <c r="W56" i="1"/>
  <c r="X56" i="1" s="1"/>
  <c r="F56" i="1"/>
  <c r="Y56" i="1" s="1"/>
  <c r="W55" i="1"/>
  <c r="X55" i="1" s="1"/>
  <c r="F55" i="1"/>
  <c r="Y55" i="1" s="1"/>
  <c r="W54" i="1"/>
  <c r="X54" i="1" s="1"/>
  <c r="F54" i="1"/>
  <c r="Y54" i="1" s="1"/>
  <c r="W53" i="1"/>
  <c r="X53" i="1" s="1"/>
  <c r="F53" i="1"/>
  <c r="Y53" i="1" s="1"/>
  <c r="F52" i="1"/>
  <c r="Y52" i="1" s="1"/>
  <c r="W51" i="1"/>
  <c r="X51" i="1" s="1"/>
  <c r="F51" i="1"/>
  <c r="Y51" i="1" s="1"/>
  <c r="W50" i="1"/>
  <c r="X50" i="1" s="1"/>
  <c r="F50" i="1"/>
  <c r="Y50" i="1" s="1"/>
  <c r="W49" i="1"/>
  <c r="X49" i="1" s="1"/>
  <c r="F49" i="1"/>
  <c r="Y49" i="1" s="1"/>
  <c r="W48" i="1"/>
  <c r="X48" i="1" s="1"/>
  <c r="F48" i="1"/>
  <c r="Y48" i="1" s="1"/>
  <c r="F47" i="1"/>
  <c r="Y47" i="1" s="1"/>
  <c r="W46" i="1"/>
  <c r="X46" i="1" s="1"/>
  <c r="F46" i="1"/>
  <c r="Y46" i="1" s="1"/>
  <c r="W45" i="1"/>
  <c r="X45" i="1" s="1"/>
  <c r="F45" i="1"/>
  <c r="Y45" i="1" s="1"/>
  <c r="W44" i="1"/>
  <c r="X44" i="1" s="1"/>
  <c r="F44" i="1"/>
  <c r="Y44" i="1" s="1"/>
  <c r="W43" i="1"/>
  <c r="X43" i="1" s="1"/>
  <c r="F43" i="1"/>
  <c r="Y43" i="1" s="1"/>
  <c r="F42" i="1"/>
  <c r="Y42" i="1" s="1"/>
  <c r="W41" i="1"/>
  <c r="X41" i="1" s="1"/>
  <c r="F41" i="1"/>
  <c r="Y41" i="1" s="1"/>
  <c r="W40" i="1"/>
  <c r="X40" i="1" s="1"/>
  <c r="F40" i="1"/>
  <c r="Y40" i="1" s="1"/>
  <c r="W39" i="1"/>
  <c r="X39" i="1" s="1"/>
  <c r="F39" i="1"/>
  <c r="Y39" i="1" s="1"/>
  <c r="W38" i="1"/>
  <c r="X38" i="1" s="1"/>
  <c r="F38" i="1"/>
  <c r="Y38" i="1" s="1"/>
  <c r="F37" i="1"/>
  <c r="Y37" i="1" s="1"/>
  <c r="W36" i="1"/>
  <c r="X36" i="1" s="1"/>
  <c r="F36" i="1"/>
  <c r="Y36" i="1" s="1"/>
  <c r="W35" i="1"/>
  <c r="X35" i="1" s="1"/>
  <c r="F35" i="1"/>
  <c r="Y35" i="1" s="1"/>
  <c r="W34" i="1"/>
  <c r="X34" i="1" s="1"/>
  <c r="F34" i="1"/>
  <c r="Y34" i="1" s="1"/>
  <c r="W33" i="1"/>
  <c r="X33" i="1" s="1"/>
  <c r="F33" i="1"/>
  <c r="Y33" i="1" s="1"/>
  <c r="F32" i="1"/>
  <c r="Y32" i="1" s="1"/>
  <c r="W31" i="1"/>
  <c r="X31" i="1" s="1"/>
  <c r="F31" i="1"/>
  <c r="Y31" i="1" s="1"/>
  <c r="W30" i="1"/>
  <c r="X30" i="1" s="1"/>
  <c r="F30" i="1"/>
  <c r="Y30" i="1" s="1"/>
  <c r="W29" i="1"/>
  <c r="X29" i="1" s="1"/>
  <c r="F29" i="1"/>
  <c r="Y29" i="1" s="1"/>
  <c r="W28" i="1"/>
  <c r="X28" i="1" s="1"/>
  <c r="F28" i="1"/>
  <c r="Y28" i="1" s="1"/>
  <c r="F27" i="1"/>
  <c r="Y27" i="1" s="1"/>
  <c r="W26" i="1"/>
  <c r="X26" i="1" s="1"/>
  <c r="F26" i="1"/>
  <c r="Y26" i="1" s="1"/>
  <c r="W25" i="1"/>
  <c r="X25" i="1" s="1"/>
  <c r="F25" i="1"/>
  <c r="Y25" i="1" s="1"/>
  <c r="W24" i="1"/>
  <c r="X24" i="1" s="1"/>
  <c r="F24" i="1"/>
  <c r="Y24" i="1" s="1"/>
  <c r="W23" i="1"/>
  <c r="X23" i="1" s="1"/>
  <c r="F23" i="1"/>
  <c r="Y23" i="1" s="1"/>
  <c r="F22" i="1"/>
  <c r="Y22" i="1" s="1"/>
  <c r="W21" i="1"/>
  <c r="X21" i="1" s="1"/>
  <c r="F21" i="1"/>
  <c r="Y21" i="1" s="1"/>
  <c r="W20" i="1"/>
  <c r="X20" i="1" s="1"/>
  <c r="F20" i="1"/>
  <c r="Y20" i="1" s="1"/>
  <c r="W19" i="1"/>
  <c r="X19" i="1" s="1"/>
  <c r="F19" i="1"/>
  <c r="Y19" i="1" s="1"/>
  <c r="W18" i="1"/>
  <c r="X18" i="1" s="1"/>
  <c r="F18" i="1"/>
  <c r="Y18" i="1" s="1"/>
  <c r="F17" i="1"/>
  <c r="Y17" i="1" s="1"/>
  <c r="W16" i="1"/>
  <c r="X16" i="1" s="1"/>
  <c r="F16" i="1"/>
  <c r="Y16" i="1" s="1"/>
  <c r="W15" i="1"/>
  <c r="X15" i="1" s="1"/>
  <c r="F15" i="1"/>
  <c r="Y15" i="1" s="1"/>
  <c r="W14" i="1"/>
  <c r="X14" i="1" s="1"/>
  <c r="F14" i="1"/>
  <c r="Y14" i="1" s="1"/>
  <c r="W13" i="1"/>
  <c r="X13" i="1" s="1"/>
  <c r="F13" i="1"/>
  <c r="Y13" i="1" s="1"/>
  <c r="F12" i="1"/>
  <c r="Y12" i="1" s="1"/>
  <c r="W11" i="1"/>
  <c r="X11" i="1" s="1"/>
  <c r="F11" i="1"/>
  <c r="Y11" i="1" s="1"/>
  <c r="W10" i="1"/>
  <c r="X10" i="1" s="1"/>
  <c r="F10" i="1"/>
  <c r="Y10" i="1" s="1"/>
  <c r="W9" i="1"/>
  <c r="X9" i="1" s="1"/>
  <c r="F9" i="1"/>
  <c r="Y9" i="1" s="1"/>
  <c r="W8" i="1"/>
  <c r="X8" i="1" s="1"/>
  <c r="F8" i="1"/>
  <c r="Y8" i="1" s="1"/>
  <c r="F7" i="1"/>
  <c r="Y7" i="1" s="1"/>
  <c r="W6" i="1"/>
  <c r="X6" i="1" s="1"/>
  <c r="F6" i="1"/>
  <c r="Y6" i="1" s="1"/>
  <c r="L8" i="2" l="1"/>
  <c r="W7" i="1"/>
  <c r="X7" i="1" s="1"/>
  <c r="AB6" i="1" s="1" a="1"/>
  <c r="AB6" i="1" s="1"/>
  <c r="W17" i="1"/>
  <c r="X17" i="1" s="1"/>
  <c r="W27" i="1"/>
  <c r="X27" i="1" s="1"/>
  <c r="W32" i="1"/>
  <c r="X32" i="1" s="1"/>
  <c r="W42" i="1"/>
  <c r="X42" i="1" s="1"/>
  <c r="W47" i="1"/>
  <c r="X47" i="1" s="1"/>
  <c r="W52" i="1"/>
  <c r="X52" i="1" s="1"/>
  <c r="W62" i="1"/>
  <c r="X62" i="1" s="1"/>
  <c r="W67" i="1"/>
  <c r="X67" i="1" s="1"/>
  <c r="W72" i="1"/>
  <c r="X72" i="1" s="1"/>
  <c r="W77" i="1"/>
  <c r="X77" i="1" s="1"/>
  <c r="W82" i="1"/>
  <c r="X82" i="1" s="1"/>
  <c r="W87" i="1"/>
  <c r="X87" i="1" s="1"/>
  <c r="W92" i="1"/>
  <c r="X92" i="1" s="1"/>
  <c r="W97" i="1"/>
  <c r="X97" i="1" s="1"/>
  <c r="W102" i="1"/>
  <c r="X102" i="1" s="1"/>
  <c r="W107" i="1"/>
  <c r="X107" i="1" s="1"/>
  <c r="W112" i="1"/>
  <c r="X112" i="1" s="1"/>
  <c r="W117" i="1"/>
  <c r="X117" i="1" s="1"/>
  <c r="W122" i="1"/>
  <c r="X122" i="1" s="1"/>
  <c r="W127" i="1"/>
  <c r="X127" i="1" s="1"/>
  <c r="W132" i="1"/>
  <c r="X132" i="1" s="1"/>
  <c r="W137" i="1"/>
  <c r="X137" i="1" s="1"/>
  <c r="W142" i="1"/>
  <c r="X142" i="1" s="1"/>
  <c r="W147" i="1"/>
  <c r="X147" i="1" s="1"/>
  <c r="W152" i="1"/>
  <c r="X152" i="1" s="1"/>
  <c r="W157" i="1"/>
  <c r="X157" i="1" s="1"/>
  <c r="W162" i="1"/>
  <c r="X162" i="1" s="1"/>
  <c r="W167" i="1"/>
  <c r="X167" i="1" s="1"/>
  <c r="W172" i="1"/>
  <c r="X172" i="1" s="1"/>
  <c r="W177" i="1"/>
  <c r="X177" i="1" s="1"/>
  <c r="W182" i="1"/>
  <c r="X182" i="1" s="1"/>
  <c r="W187" i="1"/>
  <c r="X187" i="1" s="1"/>
  <c r="W192" i="1"/>
  <c r="X192" i="1" s="1"/>
  <c r="W197" i="1"/>
  <c r="X197" i="1" s="1"/>
  <c r="W202" i="1"/>
  <c r="X202" i="1" s="1"/>
  <c r="W207" i="1"/>
  <c r="X207" i="1" s="1"/>
  <c r="W212" i="1"/>
  <c r="X212" i="1" s="1"/>
  <c r="W217" i="1"/>
  <c r="X217" i="1" s="1"/>
  <c r="W222" i="1"/>
  <c r="X222" i="1" s="1"/>
  <c r="W227" i="1"/>
  <c r="X227" i="1" s="1"/>
  <c r="W232" i="1"/>
  <c r="X232" i="1" s="1"/>
  <c r="W237" i="1"/>
  <c r="X237" i="1" s="1"/>
  <c r="W242" i="1"/>
  <c r="X242" i="1" s="1"/>
  <c r="W247" i="1"/>
  <c r="X247" i="1" s="1"/>
  <c r="W252" i="1"/>
  <c r="X252" i="1" s="1"/>
  <c r="W257" i="1"/>
  <c r="X257" i="1" s="1"/>
  <c r="W262" i="1"/>
  <c r="X262" i="1" s="1"/>
  <c r="W267" i="1"/>
  <c r="X267" i="1" s="1"/>
  <c r="W272" i="1"/>
  <c r="X272" i="1" s="1"/>
  <c r="W277" i="1"/>
  <c r="X277" i="1" s="1"/>
  <c r="W12" i="1"/>
  <c r="X12" i="1" s="1"/>
  <c r="W22" i="1"/>
  <c r="X22" i="1" s="1"/>
  <c r="W37" i="1"/>
  <c r="X37" i="1" s="1"/>
  <c r="W57" i="1"/>
  <c r="X57" i="1" s="1"/>
  <c r="L15" i="2"/>
  <c r="L9" i="2"/>
  <c r="L10" i="2"/>
  <c r="L5" i="2"/>
  <c r="M5" i="2" s="1"/>
  <c r="L12" i="2"/>
  <c r="L11" i="2"/>
  <c r="M14" i="2"/>
  <c r="O14" i="2" s="1"/>
  <c r="N14" i="2" l="1"/>
  <c r="R14" i="2" s="1"/>
  <c r="N15" i="2"/>
  <c r="R15" i="2" s="1"/>
  <c r="M15" i="2"/>
  <c r="O15" i="2" s="1"/>
  <c r="N9" i="2"/>
  <c r="R9" i="2" s="1"/>
  <c r="M9" i="2"/>
  <c r="O9" i="2" s="1"/>
  <c r="N7" i="2"/>
  <c r="R7" i="2" s="1"/>
  <c r="M7" i="2"/>
  <c r="O7" i="2" s="1"/>
  <c r="N5" i="2"/>
  <c r="R5" i="2" s="1"/>
  <c r="O5" i="2"/>
  <c r="N6" i="2"/>
  <c r="R6" i="2" s="1"/>
  <c r="M6" i="2"/>
  <c r="O6" i="2" s="1"/>
  <c r="N11" i="2"/>
  <c r="R11" i="2" s="1"/>
  <c r="M11" i="2"/>
  <c r="O11" i="2" s="1"/>
  <c r="N8" i="2"/>
  <c r="R8" i="2" s="1"/>
  <c r="M8" i="2"/>
  <c r="O8" i="2" s="1"/>
  <c r="N17" i="2"/>
  <c r="R17" i="2" s="1"/>
  <c r="M17" i="2"/>
  <c r="O17" i="2" s="1"/>
  <c r="N12" i="2"/>
  <c r="R12" i="2" s="1"/>
  <c r="M12" i="2"/>
  <c r="O12" i="2" s="1"/>
  <c r="N10" i="2"/>
  <c r="R10" i="2" s="1"/>
  <c r="M10" i="2"/>
  <c r="O10" i="2" s="1"/>
  <c r="N13" i="2"/>
  <c r="R13" i="2" s="1"/>
  <c r="M13" i="2"/>
  <c r="O13" i="2" s="1"/>
  <c r="N16" i="2"/>
  <c r="R16" i="2" s="1"/>
  <c r="M16" i="2"/>
  <c r="O16" i="2" s="1"/>
  <c r="M19" i="2" l="1"/>
  <c r="R19" i="2"/>
  <c r="L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<sst xmlns="http://schemas.openxmlformats.org/spreadsheetml/2006/main" count="776" uniqueCount="92">
  <si>
    <t>AlgoSports23.com - Power Function Prediction Model</t>
  </si>
  <si>
    <t>Use Excel's Solver: Data-Solver</t>
  </si>
  <si>
    <t>Columns in Green = formulas</t>
  </si>
  <si>
    <t>MLE:</t>
  </si>
  <si>
    <t>Solver Solutions</t>
  </si>
  <si>
    <t>Date</t>
  </si>
  <si>
    <t>HomeTeam</t>
  </si>
  <si>
    <t>HomePts</t>
  </si>
  <si>
    <t>AwayTeam</t>
  </si>
  <si>
    <t>AwayPts</t>
  </si>
  <si>
    <t>Margin</t>
  </si>
  <si>
    <t>NeutralSite</t>
  </si>
  <si>
    <t>HomeRating</t>
  </si>
  <si>
    <t>AwayRating</t>
  </si>
  <si>
    <t>HFA</t>
  </si>
  <si>
    <t>LogObj</t>
  </si>
  <si>
    <t>Team</t>
  </si>
  <si>
    <t>Pct</t>
  </si>
  <si>
    <t>Rating</t>
  </si>
  <si>
    <t>LB</t>
  </si>
  <si>
    <t>UB</t>
  </si>
  <si>
    <t>Obj-Prob</t>
  </si>
  <si>
    <t>Eagles</t>
  </si>
  <si>
    <t>Cowboys</t>
  </si>
  <si>
    <t>Chargers</t>
  </si>
  <si>
    <t>Chiefs</t>
  </si>
  <si>
    <t>Browns</t>
  </si>
  <si>
    <t>Bengals</t>
  </si>
  <si>
    <t>Colts</t>
  </si>
  <si>
    <t>Dolphins</t>
  </si>
  <si>
    <t>Commanders</t>
  </si>
  <si>
    <t>Giants</t>
  </si>
  <si>
    <t>Falcons</t>
  </si>
  <si>
    <t>Buccaneers</t>
  </si>
  <si>
    <t>Jaguars</t>
  </si>
  <si>
    <t>Panthers</t>
  </si>
  <si>
    <t>Jets</t>
  </si>
  <si>
    <t>Steelers</t>
  </si>
  <si>
    <t>Patriots</t>
  </si>
  <si>
    <t>Raiders</t>
  </si>
  <si>
    <t>Saints</t>
  </si>
  <si>
    <t>Cardinals</t>
  </si>
  <si>
    <t>Broncos</t>
  </si>
  <si>
    <t>Titans</t>
  </si>
  <si>
    <t>Seahawks</t>
  </si>
  <si>
    <t>49ers</t>
  </si>
  <si>
    <t>Packers</t>
  </si>
  <si>
    <t>Lions</t>
  </si>
  <si>
    <t>Rams</t>
  </si>
  <si>
    <t>Texans</t>
  </si>
  <si>
    <t>Bills</t>
  </si>
  <si>
    <t>Ravens</t>
  </si>
  <si>
    <t>Bears</t>
  </si>
  <si>
    <t>Vikings</t>
  </si>
  <si>
    <t>Win Margin</t>
  </si>
  <si>
    <t>NFL 2025-2026</t>
  </si>
  <si>
    <t>W-L-T</t>
  </si>
  <si>
    <t xml:space="preserve"> 12-5-0</t>
  </si>
  <si>
    <t xml:space="preserve"> 11-6-0</t>
  </si>
  <si>
    <t xml:space="preserve"> 6-11-0</t>
  </si>
  <si>
    <t xml:space="preserve"> 14-3-0</t>
  </si>
  <si>
    <t xml:space="preserve"> 5-12-0</t>
  </si>
  <si>
    <t xml:space="preserve"> 8-9-0</t>
  </si>
  <si>
    <t xml:space="preserve"> 3-14-0</t>
  </si>
  <si>
    <t xml:space="preserve"> 7-9-1</t>
  </si>
  <si>
    <t xml:space="preserve"> 7-10-0</t>
  </si>
  <si>
    <t xml:space="preserve"> 4-13-0</t>
  </si>
  <si>
    <t xml:space="preserve"> 13-4-0</t>
  </si>
  <si>
    <t xml:space="preserve"> 9-8-0</t>
  </si>
  <si>
    <t xml:space="preserve"> 9-7-1</t>
  </si>
  <si>
    <t xml:space="preserve"> 10-7-0</t>
  </si>
  <si>
    <t>Pred-Winner</t>
  </si>
  <si>
    <t>Actual-Winner</t>
  </si>
  <si>
    <t>Win-Prob</t>
  </si>
  <si>
    <t>Cells in orange are more complicated formula</t>
  </si>
  <si>
    <t>Ranking by Team Record</t>
  </si>
  <si>
    <t>Ranking by Rating</t>
  </si>
  <si>
    <t>Rank</t>
  </si>
  <si>
    <t>HomeProb</t>
  </si>
  <si>
    <t>HomePct-0.5</t>
  </si>
  <si>
    <t>b0</t>
  </si>
  <si>
    <t>b1</t>
  </si>
  <si>
    <t>NFL 2026 - Playoff Predictions</t>
  </si>
  <si>
    <t>Regression</t>
  </si>
  <si>
    <t>Correct</t>
  </si>
  <si>
    <t>Home-Prob</t>
  </si>
  <si>
    <t>Regression: Win Margin</t>
  </si>
  <si>
    <t>Coeff</t>
  </si>
  <si>
    <t>se</t>
  </si>
  <si>
    <t>R2/SeY</t>
  </si>
  <si>
    <t>F / df</t>
  </si>
  <si>
    <t>SSR/SSE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</si>
</sst>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4"/>
      <color rgb="FF0000FF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0" applyFont="1"/>
    <xf numFmtId="0" fontId="3" fillId="0" borderId="0" xfId="0" quotePrefix="1" applyFont="1" applyAlignment="1">
      <alignment horizontal="left"/>
    </xf>
    <xf numFmtId="14" fontId="1" fillId="0" borderId="0" xfId="0" applyNumberFormat="1" applyFont="1"/>
    <xf numFmtId="0" fontId="0" fillId="0" borderId="0" xfId="0" quotePrefix="1" applyAlignment="1">
      <alignment horizontal="left"/>
    </xf>
    <xf numFmtId="0" fontId="0" fillId="0" borderId="1" xfId="0" quotePrefix="1" applyBorder="1" applyAlignment="1">
      <alignment horizontal="right"/>
    </xf>
    <xf numFmtId="2" fontId="1" fillId="2" borderId="1" xfId="0" applyNumberFormat="1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4" fontId="4" fillId="3" borderId="0" xfId="0" applyNumberFormat="1" applyFont="1" applyFill="1"/>
    <xf numFmtId="0" fontId="4" fillId="3" borderId="0" xfId="0" applyFont="1" applyFill="1"/>
    <xf numFmtId="0" fontId="4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3" borderId="0" xfId="0" applyFont="1" applyFill="1"/>
    <xf numFmtId="14" fontId="0" fillId="0" borderId="0" xfId="0" applyNumberFormat="1"/>
    <xf numFmtId="164" fontId="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center"/>
    </xf>
    <xf numFmtId="165" fontId="1" fillId="0" borderId="0" xfId="0" applyNumberFormat="1" applyFont="1"/>
    <xf numFmtId="0" fontId="6" fillId="0" borderId="0" xfId="0" applyFont="1"/>
    <xf numFmtId="164" fontId="6" fillId="0" borderId="0" xfId="0" applyNumberFormat="1" applyFont="1"/>
    <xf numFmtId="2" fontId="6" fillId="0" borderId="0" xfId="0" applyNumberFormat="1" applyFont="1"/>
    <xf numFmtId="0" fontId="6" fillId="0" borderId="5" xfId="0" applyFont="1" applyBorder="1"/>
    <xf numFmtId="164" fontId="6" fillId="0" borderId="5" xfId="0" applyNumberFormat="1" applyFont="1" applyBorder="1"/>
    <xf numFmtId="2" fontId="6" fillId="0" borderId="5" xfId="0" applyNumberFormat="1" applyFont="1" applyBorder="1"/>
    <xf numFmtId="14" fontId="7" fillId="0" borderId="0" xfId="0" applyNumberFormat="1" applyFont="1"/>
    <xf numFmtId="0" fontId="7" fillId="0" borderId="0" xfId="0" applyFont="1"/>
    <xf numFmtId="164" fontId="7" fillId="0" borderId="0" xfId="0" applyNumberFormat="1" applyFont="1"/>
    <xf numFmtId="0" fontId="4" fillId="5" borderId="0" xfId="0" quotePrefix="1" applyFont="1" applyFill="1" applyAlignment="1">
      <alignment horizontal="right"/>
    </xf>
    <xf numFmtId="14" fontId="5" fillId="0" borderId="0" xfId="0" quotePrefix="1" applyNumberFormat="1" applyFont="1" applyAlignment="1">
      <alignment horizontal="left"/>
    </xf>
    <xf numFmtId="14" fontId="0" fillId="0" borderId="5" xfId="0" applyNumberFormat="1" applyBorder="1"/>
    <xf numFmtId="0" fontId="0" fillId="0" borderId="5" xfId="0" applyBorder="1"/>
    <xf numFmtId="0" fontId="4" fillId="4" borderId="0" xfId="0" quotePrefix="1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center"/>
    </xf>
    <xf numFmtId="0" fontId="7" fillId="0" borderId="0" xfId="0" applyFont="1" applyAlignment="1">
      <alignment horizontal="center"/>
    </xf>
    <xf numFmtId="9" fontId="7" fillId="0" borderId="0" xfId="1" applyFont="1" applyAlignment="1">
      <alignment horizontal="center"/>
    </xf>
    <xf numFmtId="164" fontId="7" fillId="0" borderId="0" xfId="0" applyNumberFormat="1" applyFont="1" applyAlignment="1">
      <alignment horizontal="left"/>
    </xf>
    <xf numFmtId="0" fontId="3" fillId="0" borderId="0" xfId="0" applyFont="1"/>
    <xf numFmtId="0" fontId="1" fillId="0" borderId="5" xfId="0" applyFont="1" applyBorder="1" applyAlignment="1">
      <alignment horizontal="center"/>
    </xf>
    <xf numFmtId="165" fontId="1" fillId="0" borderId="5" xfId="0" applyNumberFormat="1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4" fillId="6" borderId="0" xfId="0" quotePrefix="1" applyFont="1" applyFill="1" applyAlignment="1">
      <alignment horizontal="right"/>
    </xf>
    <xf numFmtId="0" fontId="4" fillId="7" borderId="0" xfId="0" quotePrefix="1" applyFont="1" applyFill="1" applyAlignment="1">
      <alignment horizontal="left"/>
    </xf>
    <xf numFmtId="0" fontId="4" fillId="7" borderId="0" xfId="0" quotePrefix="1" applyFont="1" applyFill="1" applyAlignment="1">
      <alignment horizontal="center"/>
    </xf>
    <xf numFmtId="166" fontId="7" fillId="0" borderId="0" xfId="1" applyNumberFormat="1" applyFont="1" applyAlignment="1">
      <alignment horizontal="center"/>
    </xf>
    <xf numFmtId="0" fontId="8" fillId="0" borderId="0" xfId="0" quotePrefix="1" applyFont="1" applyAlignment="1">
      <alignment horizontal="left"/>
    </xf>
    <xf numFmtId="0" fontId="4" fillId="4" borderId="0" xfId="0" applyFont="1" applyFill="1" applyAlignment="1">
      <alignment horizontal="left"/>
    </xf>
    <xf numFmtId="2" fontId="0" fillId="0" borderId="0" xfId="0" applyNumberFormat="1" applyAlignment="1">
      <alignment horizontal="center"/>
    </xf>
    <xf numFmtId="0" fontId="9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4" borderId="0" xfId="0" quotePrefix="1" applyFont="1" applyFill="1" applyAlignment="1">
      <alignment horizontal="left"/>
    </xf>
    <xf numFmtId="1" fontId="7" fillId="0" borderId="0" xfId="0" applyNumberFormat="1" applyFont="1"/>
    <xf numFmtId="0" fontId="0" fillId="0" borderId="2" xfId="0" applyBorder="1"/>
    <xf numFmtId="0" fontId="4" fillId="6" borderId="0" xfId="0" applyFont="1" applyFill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BCCE-ADB0-4625-912D-F222E3F6CB1F}">
  <dimension ref="A1:AC293"/>
  <sheetViews>
    <sheetView tabSelected="1" zoomScale="120" zoomScaleNormal="120" workbookViewId="0">
      <pane ySplit="5" topLeftCell="A6" activePane="bottomLeft" state="frozen"/>
      <selection pane="bottomLeft" activeCell="F6" sqref="F6"/>
    </sheetView>
  </sheetViews>
  <sheetFormatPr baseColWidth="10" defaultColWidth="8.83203125" defaultRowHeight="15" x14ac:dyDescent="0.2"/>
  <cols>
    <col min="1" max="1" width="13.5" style="3" customWidth="1"/>
    <col min="2" max="2" width="12.6640625" style="1" customWidth="1"/>
    <col min="3" max="3" width="8" style="1" customWidth="1"/>
    <col min="4" max="4" width="16" style="1" customWidth="1"/>
    <col min="5" max="5" width="8.83203125" style="1"/>
    <col min="6" max="6" width="12.1640625" style="1" customWidth="1"/>
    <col min="7" max="7" width="10" style="1" customWidth="1"/>
    <col min="8" max="9" width="11.83203125" style="1" customWidth="1"/>
    <col min="10" max="10" width="9.33203125" style="1" customWidth="1"/>
    <col min="11" max="12" width="14.5" style="1" customWidth="1"/>
    <col min="13" max="14" width="8.83203125" style="1"/>
    <col min="15" max="15" width="24.83203125" style="1" customWidth="1"/>
    <col min="16" max="22" width="8.83203125" style="1"/>
    <col min="23" max="25" width="15.6640625" style="1" customWidth="1"/>
    <col min="26" max="27" width="9.83203125" style="1" customWidth="1"/>
    <col min="28" max="16384" width="8.83203125" style="1"/>
  </cols>
  <sheetData>
    <row r="1" spans="1:29" ht="32" x14ac:dyDescent="0.4">
      <c r="A1" s="30" t="s">
        <v>0</v>
      </c>
      <c r="O1" s="2" t="s">
        <v>1</v>
      </c>
    </row>
    <row r="2" spans="1:29" ht="32" x14ac:dyDescent="0.4">
      <c r="A2" s="30" t="s">
        <v>55</v>
      </c>
    </row>
    <row r="3" spans="1:29" x14ac:dyDescent="0.2">
      <c r="F3" t="s">
        <v>2</v>
      </c>
      <c r="K3" s="5" t="s">
        <v>3</v>
      </c>
      <c r="L3" s="6">
        <f>SUM(L6:L277)</f>
        <v>0</v>
      </c>
    </row>
    <row r="4" spans="1:29" x14ac:dyDescent="0.2">
      <c r="H4" s="4" t="s">
        <v>74</v>
      </c>
      <c r="O4" s="7" t="s">
        <v>4</v>
      </c>
      <c r="P4" s="8"/>
      <c r="Q4" s="8"/>
      <c r="R4" s="9"/>
      <c r="W4" s="59" t="s">
        <v>86</v>
      </c>
      <c r="X4" s="8"/>
      <c r="Y4" s="9"/>
    </row>
    <row r="5" spans="1:29" x14ac:dyDescent="0.2">
      <c r="A5" s="10" t="s">
        <v>5</v>
      </c>
      <c r="B5" s="11" t="s">
        <v>6</v>
      </c>
      <c r="C5" s="11" t="s">
        <v>7</v>
      </c>
      <c r="D5" s="11" t="s">
        <v>8</v>
      </c>
      <c r="E5" s="11" t="s">
        <v>9</v>
      </c>
      <c r="F5" s="33" t="s">
        <v>54</v>
      </c>
      <c r="G5" s="12" t="s">
        <v>11</v>
      </c>
      <c r="H5" s="29" t="s">
        <v>12</v>
      </c>
      <c r="I5" s="29" t="s">
        <v>13</v>
      </c>
      <c r="J5" s="29" t="s">
        <v>14</v>
      </c>
      <c r="K5" s="29" t="s">
        <v>21</v>
      </c>
      <c r="L5" s="29" t="s">
        <v>15</v>
      </c>
      <c r="N5" s="4"/>
      <c r="O5" s="11" t="s">
        <v>6</v>
      </c>
      <c r="P5" s="14" t="s">
        <v>18</v>
      </c>
      <c r="Q5" s="14" t="s">
        <v>19</v>
      </c>
      <c r="R5" s="14" t="s">
        <v>20</v>
      </c>
      <c r="W5" s="44" t="s">
        <v>78</v>
      </c>
      <c r="X5" s="44" t="s">
        <v>79</v>
      </c>
      <c r="Y5" s="44" t="s">
        <v>54</v>
      </c>
      <c r="AB5" s="60" t="s">
        <v>81</v>
      </c>
      <c r="AC5" s="60" t="s">
        <v>80</v>
      </c>
    </row>
    <row r="6" spans="1:29" x14ac:dyDescent="0.2">
      <c r="A6" s="15">
        <v>45904.847222222219</v>
      </c>
      <c r="B6" t="s">
        <v>22</v>
      </c>
      <c r="C6">
        <v>24</v>
      </c>
      <c r="D6" t="s">
        <v>23</v>
      </c>
      <c r="E6">
        <v>20</v>
      </c>
      <c r="F6">
        <f t="shared" ref="F6:F69" si="0">C6-E6</f>
        <v>4</v>
      </c>
      <c r="G6">
        <v>0</v>
      </c>
      <c r="H6" s="16" t="e">
        <f>VLOOKUP(B6, Q6:Q38, )</f>
        <v>#N/A</v>
      </c>
      <c r="I6" s="16"/>
      <c r="J6" s="16">
        <f>P38</f>
        <v>5</v>
      </c>
      <c r="K6" s="16"/>
      <c r="L6" s="17"/>
      <c r="O6" s="20" t="s">
        <v>45</v>
      </c>
      <c r="P6" s="1">
        <v>5</v>
      </c>
      <c r="Q6" s="1">
        <v>1E-4</v>
      </c>
      <c r="R6" s="1">
        <v>10</v>
      </c>
      <c r="W6" s="16" t="e">
        <f>(H6+J6)/SUM(H6:J6)</f>
        <v>#N/A</v>
      </c>
      <c r="X6" s="16" t="e">
        <f>(W6-0.5)</f>
        <v>#N/A</v>
      </c>
      <c r="Y6" s="1">
        <f>F6</f>
        <v>4</v>
      </c>
      <c r="AA6" t="s">
        <v>87</v>
      </c>
      <c r="AB6" s="1" t="e" cm="1">
        <f t="array" ref="AB6">LINEST(Y6:Y277,X6:X277,FALSE,TRUE)</f>
        <v>#VALUE!</v>
      </c>
    </row>
    <row r="7" spans="1:29" x14ac:dyDescent="0.2">
      <c r="A7" s="15">
        <v>45905.833333333336</v>
      </c>
      <c r="B7" t="s">
        <v>24</v>
      </c>
      <c r="C7">
        <v>27</v>
      </c>
      <c r="D7" t="s">
        <v>25</v>
      </c>
      <c r="E7">
        <v>21</v>
      </c>
      <c r="F7">
        <f t="shared" si="0"/>
        <v>6</v>
      </c>
      <c r="G7">
        <v>0</v>
      </c>
      <c r="H7" s="16"/>
      <c r="I7" s="16"/>
      <c r="J7" s="16"/>
      <c r="K7" s="16"/>
      <c r="L7" s="17"/>
      <c r="O7" s="20" t="s">
        <v>52</v>
      </c>
      <c r="P7" s="1">
        <v>5</v>
      </c>
      <c r="Q7" s="1">
        <v>1E-4</v>
      </c>
      <c r="R7" s="1">
        <v>10</v>
      </c>
      <c r="W7" s="16" t="e">
        <f t="shared" ref="W7:W70" si="1">(H7+J7)/SUM(H7:J7)</f>
        <v>#DIV/0!</v>
      </c>
      <c r="X7" s="16" t="e">
        <f t="shared" ref="X7:X70" si="2">(W7-0.5)</f>
        <v>#DIV/0!</v>
      </c>
      <c r="Y7" s="1">
        <f t="shared" ref="Y7:Y70" si="3">F7</f>
        <v>6</v>
      </c>
      <c r="AA7" t="s">
        <v>88</v>
      </c>
    </row>
    <row r="8" spans="1:29" x14ac:dyDescent="0.2">
      <c r="A8" s="15">
        <v>45907.541666666664</v>
      </c>
      <c r="B8" t="s">
        <v>26</v>
      </c>
      <c r="C8">
        <v>16</v>
      </c>
      <c r="D8" t="s">
        <v>27</v>
      </c>
      <c r="E8">
        <v>17</v>
      </c>
      <c r="F8">
        <f t="shared" si="0"/>
        <v>-1</v>
      </c>
      <c r="G8">
        <v>0</v>
      </c>
      <c r="H8" s="16"/>
      <c r="I8" s="16"/>
      <c r="J8" s="16"/>
      <c r="K8" s="16"/>
      <c r="L8" s="17"/>
      <c r="O8" s="20" t="s">
        <v>27</v>
      </c>
      <c r="P8" s="1">
        <v>5</v>
      </c>
      <c r="Q8" s="1">
        <v>1E-4</v>
      </c>
      <c r="R8" s="1">
        <v>10</v>
      </c>
      <c r="W8" s="16" t="e">
        <f t="shared" si="1"/>
        <v>#DIV/0!</v>
      </c>
      <c r="X8" s="16" t="e">
        <f t="shared" si="2"/>
        <v>#DIV/0!</v>
      </c>
      <c r="Y8" s="1">
        <f t="shared" si="3"/>
        <v>-1</v>
      </c>
      <c r="AA8" t="s">
        <v>89</v>
      </c>
    </row>
    <row r="9" spans="1:29" x14ac:dyDescent="0.2">
      <c r="A9" s="15">
        <v>45907.541666666664</v>
      </c>
      <c r="B9" t="s">
        <v>28</v>
      </c>
      <c r="C9">
        <v>33</v>
      </c>
      <c r="D9" t="s">
        <v>29</v>
      </c>
      <c r="E9">
        <v>8</v>
      </c>
      <c r="F9">
        <f t="shared" si="0"/>
        <v>25</v>
      </c>
      <c r="G9">
        <v>0</v>
      </c>
      <c r="H9" s="16"/>
      <c r="I9" s="16"/>
      <c r="J9" s="16"/>
      <c r="K9" s="16"/>
      <c r="L9" s="17"/>
      <c r="O9" s="20" t="s">
        <v>50</v>
      </c>
      <c r="P9" s="1">
        <v>5</v>
      </c>
      <c r="Q9" s="1">
        <v>1E-4</v>
      </c>
      <c r="R9" s="1">
        <v>10</v>
      </c>
      <c r="W9" s="16" t="e">
        <f t="shared" si="1"/>
        <v>#DIV/0!</v>
      </c>
      <c r="X9" s="16" t="e">
        <f t="shared" si="2"/>
        <v>#DIV/0!</v>
      </c>
      <c r="Y9" s="1">
        <f t="shared" si="3"/>
        <v>25</v>
      </c>
      <c r="AA9" t="s">
        <v>90</v>
      </c>
    </row>
    <row r="10" spans="1:29" x14ac:dyDescent="0.2">
      <c r="A10" s="15">
        <v>45907.541666666664</v>
      </c>
      <c r="B10" t="s">
        <v>30</v>
      </c>
      <c r="C10">
        <v>21</v>
      </c>
      <c r="D10" t="s">
        <v>31</v>
      </c>
      <c r="E10">
        <v>6</v>
      </c>
      <c r="F10">
        <f t="shared" si="0"/>
        <v>15</v>
      </c>
      <c r="G10">
        <v>0</v>
      </c>
      <c r="H10" s="16"/>
      <c r="I10" s="16"/>
      <c r="J10" s="16"/>
      <c r="K10" s="16"/>
      <c r="L10" s="17"/>
      <c r="O10" s="20" t="s">
        <v>42</v>
      </c>
      <c r="P10" s="1">
        <v>5</v>
      </c>
      <c r="Q10" s="1">
        <v>1E-4</v>
      </c>
      <c r="R10" s="1">
        <v>10</v>
      </c>
      <c r="W10" s="16" t="e">
        <f t="shared" si="1"/>
        <v>#DIV/0!</v>
      </c>
      <c r="X10" s="16" t="e">
        <f t="shared" si="2"/>
        <v>#DIV/0!</v>
      </c>
      <c r="Y10" s="1">
        <f t="shared" si="3"/>
        <v>15</v>
      </c>
      <c r="AA10" t="s">
        <v>91</v>
      </c>
    </row>
    <row r="11" spans="1:29" x14ac:dyDescent="0.2">
      <c r="A11" s="15">
        <v>45907.541666666664</v>
      </c>
      <c r="B11" t="s">
        <v>32</v>
      </c>
      <c r="C11">
        <v>20</v>
      </c>
      <c r="D11" t="s">
        <v>33</v>
      </c>
      <c r="E11">
        <v>23</v>
      </c>
      <c r="F11">
        <f t="shared" si="0"/>
        <v>-3</v>
      </c>
      <c r="G11">
        <v>0</v>
      </c>
      <c r="H11" s="16"/>
      <c r="I11" s="16"/>
      <c r="J11" s="16"/>
      <c r="K11" s="16"/>
      <c r="L11" s="17"/>
      <c r="O11" s="20" t="s">
        <v>26</v>
      </c>
      <c r="P11" s="1">
        <v>5</v>
      </c>
      <c r="Q11" s="1">
        <v>1E-4</v>
      </c>
      <c r="R11" s="1">
        <v>10</v>
      </c>
      <c r="W11" s="16" t="e">
        <f t="shared" si="1"/>
        <v>#DIV/0!</v>
      </c>
      <c r="X11" s="16" t="e">
        <f t="shared" si="2"/>
        <v>#DIV/0!</v>
      </c>
      <c r="Y11" s="1">
        <f t="shared" si="3"/>
        <v>-3</v>
      </c>
    </row>
    <row r="12" spans="1:29" x14ac:dyDescent="0.2">
      <c r="A12" s="15">
        <v>45907.541666666664</v>
      </c>
      <c r="B12" t="s">
        <v>34</v>
      </c>
      <c r="C12">
        <v>26</v>
      </c>
      <c r="D12" t="s">
        <v>35</v>
      </c>
      <c r="E12">
        <v>10</v>
      </c>
      <c r="F12">
        <f t="shared" si="0"/>
        <v>16</v>
      </c>
      <c r="G12">
        <v>0</v>
      </c>
      <c r="H12" s="16"/>
      <c r="I12" s="16"/>
      <c r="J12" s="16"/>
      <c r="K12" s="16"/>
      <c r="L12" s="17"/>
      <c r="O12" s="20" t="s">
        <v>33</v>
      </c>
      <c r="P12" s="1">
        <v>5</v>
      </c>
      <c r="Q12" s="1">
        <v>1E-4</v>
      </c>
      <c r="R12" s="1">
        <v>10</v>
      </c>
      <c r="W12" s="16" t="e">
        <f t="shared" si="1"/>
        <v>#DIV/0!</v>
      </c>
      <c r="X12" s="16" t="e">
        <f t="shared" si="2"/>
        <v>#DIV/0!</v>
      </c>
      <c r="Y12" s="1">
        <f t="shared" si="3"/>
        <v>16</v>
      </c>
    </row>
    <row r="13" spans="1:29" x14ac:dyDescent="0.2">
      <c r="A13" s="15">
        <v>45907.541666666664</v>
      </c>
      <c r="B13" t="s">
        <v>36</v>
      </c>
      <c r="C13">
        <v>32</v>
      </c>
      <c r="D13" t="s">
        <v>37</v>
      </c>
      <c r="E13">
        <v>34</v>
      </c>
      <c r="F13">
        <f t="shared" si="0"/>
        <v>-2</v>
      </c>
      <c r="G13">
        <v>0</v>
      </c>
      <c r="H13" s="16"/>
      <c r="I13" s="16"/>
      <c r="J13" s="16"/>
      <c r="K13" s="16"/>
      <c r="L13" s="17"/>
      <c r="O13" s="20" t="s">
        <v>41</v>
      </c>
      <c r="P13" s="1">
        <v>5</v>
      </c>
      <c r="Q13" s="1">
        <v>1E-4</v>
      </c>
      <c r="R13" s="1">
        <v>10</v>
      </c>
      <c r="W13" s="16" t="e">
        <f t="shared" si="1"/>
        <v>#DIV/0!</v>
      </c>
      <c r="X13" s="16" t="e">
        <f t="shared" si="2"/>
        <v>#DIV/0!</v>
      </c>
      <c r="Y13" s="1">
        <f t="shared" si="3"/>
        <v>-2</v>
      </c>
    </row>
    <row r="14" spans="1:29" x14ac:dyDescent="0.2">
      <c r="A14" s="15">
        <v>45907.541666666664</v>
      </c>
      <c r="B14" t="s">
        <v>38</v>
      </c>
      <c r="C14">
        <v>13</v>
      </c>
      <c r="D14" t="s">
        <v>39</v>
      </c>
      <c r="E14">
        <v>20</v>
      </c>
      <c r="F14">
        <f t="shared" si="0"/>
        <v>-7</v>
      </c>
      <c r="G14">
        <v>0</v>
      </c>
      <c r="H14" s="16"/>
      <c r="I14" s="16"/>
      <c r="J14" s="16"/>
      <c r="K14" s="16"/>
      <c r="L14" s="17"/>
      <c r="O14" s="20" t="s">
        <v>24</v>
      </c>
      <c r="P14" s="1">
        <v>5</v>
      </c>
      <c r="Q14" s="1">
        <v>1E-4</v>
      </c>
      <c r="R14" s="1">
        <v>10</v>
      </c>
      <c r="W14" s="16" t="e">
        <f t="shared" si="1"/>
        <v>#DIV/0!</v>
      </c>
      <c r="X14" s="16" t="e">
        <f t="shared" si="2"/>
        <v>#DIV/0!</v>
      </c>
      <c r="Y14" s="1">
        <f t="shared" si="3"/>
        <v>-7</v>
      </c>
    </row>
    <row r="15" spans="1:29" x14ac:dyDescent="0.2">
      <c r="A15" s="15">
        <v>45907.541666666664</v>
      </c>
      <c r="B15" t="s">
        <v>40</v>
      </c>
      <c r="C15">
        <v>13</v>
      </c>
      <c r="D15" t="s">
        <v>41</v>
      </c>
      <c r="E15">
        <v>20</v>
      </c>
      <c r="F15">
        <f t="shared" si="0"/>
        <v>-7</v>
      </c>
      <c r="G15">
        <v>0</v>
      </c>
      <c r="H15" s="16"/>
      <c r="I15" s="16"/>
      <c r="J15" s="16"/>
      <c r="K15" s="16"/>
      <c r="L15" s="17"/>
      <c r="O15" s="20" t="s">
        <v>25</v>
      </c>
      <c r="P15" s="1">
        <v>5</v>
      </c>
      <c r="Q15" s="1">
        <v>1E-4</v>
      </c>
      <c r="R15" s="1">
        <v>10</v>
      </c>
      <c r="W15" s="16" t="e">
        <f t="shared" si="1"/>
        <v>#DIV/0!</v>
      </c>
      <c r="X15" s="16" t="e">
        <f t="shared" si="2"/>
        <v>#DIV/0!</v>
      </c>
      <c r="Y15" s="1">
        <f t="shared" si="3"/>
        <v>-7</v>
      </c>
    </row>
    <row r="16" spans="1:29" x14ac:dyDescent="0.2">
      <c r="A16" s="15">
        <v>45907.670138888891</v>
      </c>
      <c r="B16" t="s">
        <v>42</v>
      </c>
      <c r="C16">
        <v>20</v>
      </c>
      <c r="D16" t="s">
        <v>43</v>
      </c>
      <c r="E16">
        <v>12</v>
      </c>
      <c r="F16">
        <f t="shared" si="0"/>
        <v>8</v>
      </c>
      <c r="G16">
        <v>0</v>
      </c>
      <c r="H16" s="16"/>
      <c r="I16" s="16"/>
      <c r="J16" s="16"/>
      <c r="K16" s="16"/>
      <c r="L16" s="17"/>
      <c r="O16" s="20" t="s">
        <v>28</v>
      </c>
      <c r="P16" s="1">
        <v>5</v>
      </c>
      <c r="Q16" s="1">
        <v>1E-4</v>
      </c>
      <c r="R16" s="1">
        <v>10</v>
      </c>
      <c r="W16" s="16" t="e">
        <f t="shared" si="1"/>
        <v>#DIV/0!</v>
      </c>
      <c r="X16" s="16" t="e">
        <f t="shared" si="2"/>
        <v>#DIV/0!</v>
      </c>
      <c r="Y16" s="1">
        <f t="shared" si="3"/>
        <v>8</v>
      </c>
    </row>
    <row r="17" spans="1:25" x14ac:dyDescent="0.2">
      <c r="A17" s="15">
        <v>45907.670138888891</v>
      </c>
      <c r="B17" t="s">
        <v>44</v>
      </c>
      <c r="C17">
        <v>13</v>
      </c>
      <c r="D17" t="s">
        <v>45</v>
      </c>
      <c r="E17">
        <v>17</v>
      </c>
      <c r="F17">
        <f t="shared" si="0"/>
        <v>-4</v>
      </c>
      <c r="G17">
        <v>0</v>
      </c>
      <c r="H17" s="16"/>
      <c r="I17" s="16"/>
      <c r="J17" s="16"/>
      <c r="K17" s="16"/>
      <c r="L17" s="17"/>
      <c r="O17" s="20" t="s">
        <v>30</v>
      </c>
      <c r="P17" s="1">
        <v>5</v>
      </c>
      <c r="Q17" s="1">
        <v>1E-4</v>
      </c>
      <c r="R17" s="1">
        <v>10</v>
      </c>
      <c r="W17" s="16" t="e">
        <f t="shared" si="1"/>
        <v>#DIV/0!</v>
      </c>
      <c r="X17" s="16" t="e">
        <f t="shared" si="2"/>
        <v>#DIV/0!</v>
      </c>
      <c r="Y17" s="1">
        <f t="shared" si="3"/>
        <v>-4</v>
      </c>
    </row>
    <row r="18" spans="1:25" x14ac:dyDescent="0.2">
      <c r="A18" s="15">
        <v>45907.684027777781</v>
      </c>
      <c r="B18" t="s">
        <v>46</v>
      </c>
      <c r="C18">
        <v>27</v>
      </c>
      <c r="D18" t="s">
        <v>47</v>
      </c>
      <c r="E18">
        <v>13</v>
      </c>
      <c r="F18">
        <f t="shared" si="0"/>
        <v>14</v>
      </c>
      <c r="G18">
        <v>0</v>
      </c>
      <c r="H18" s="16"/>
      <c r="I18" s="16"/>
      <c r="J18" s="16"/>
      <c r="K18" s="16"/>
      <c r="L18" s="17"/>
      <c r="O18" s="20" t="s">
        <v>23</v>
      </c>
      <c r="P18" s="1">
        <v>5</v>
      </c>
      <c r="Q18" s="1">
        <v>1E-4</v>
      </c>
      <c r="R18" s="1">
        <v>10</v>
      </c>
      <c r="W18" s="16" t="e">
        <f t="shared" si="1"/>
        <v>#DIV/0!</v>
      </c>
      <c r="X18" s="16" t="e">
        <f t="shared" si="2"/>
        <v>#DIV/0!</v>
      </c>
      <c r="Y18" s="1">
        <f t="shared" si="3"/>
        <v>14</v>
      </c>
    </row>
    <row r="19" spans="1:25" x14ac:dyDescent="0.2">
      <c r="A19" s="15">
        <v>45907.684027777781</v>
      </c>
      <c r="B19" t="s">
        <v>48</v>
      </c>
      <c r="C19">
        <v>14</v>
      </c>
      <c r="D19" t="s">
        <v>49</v>
      </c>
      <c r="E19">
        <v>9</v>
      </c>
      <c r="F19">
        <f t="shared" si="0"/>
        <v>5</v>
      </c>
      <c r="G19">
        <v>0</v>
      </c>
      <c r="H19" s="16"/>
      <c r="I19" s="16"/>
      <c r="J19" s="16"/>
      <c r="K19" s="16"/>
      <c r="L19" s="17"/>
      <c r="O19" s="20" t="s">
        <v>29</v>
      </c>
      <c r="P19" s="1">
        <v>5</v>
      </c>
      <c r="Q19" s="1">
        <v>1E-4</v>
      </c>
      <c r="R19" s="1">
        <v>10</v>
      </c>
      <c r="W19" s="16" t="e">
        <f t="shared" si="1"/>
        <v>#DIV/0!</v>
      </c>
      <c r="X19" s="16" t="e">
        <f t="shared" si="2"/>
        <v>#DIV/0!</v>
      </c>
      <c r="Y19" s="1">
        <f t="shared" si="3"/>
        <v>5</v>
      </c>
    </row>
    <row r="20" spans="1:25" x14ac:dyDescent="0.2">
      <c r="A20" s="15">
        <v>45907.847222222219</v>
      </c>
      <c r="B20" t="s">
        <v>50</v>
      </c>
      <c r="C20">
        <v>41</v>
      </c>
      <c r="D20" t="s">
        <v>51</v>
      </c>
      <c r="E20">
        <v>40</v>
      </c>
      <c r="F20">
        <f t="shared" si="0"/>
        <v>1</v>
      </c>
      <c r="G20">
        <v>0</v>
      </c>
      <c r="H20" s="16"/>
      <c r="I20" s="16"/>
      <c r="J20" s="16"/>
      <c r="K20" s="16"/>
      <c r="L20" s="17"/>
      <c r="O20" s="20" t="s">
        <v>22</v>
      </c>
      <c r="P20" s="1">
        <v>5</v>
      </c>
      <c r="Q20" s="1">
        <v>1E-4</v>
      </c>
      <c r="R20" s="1">
        <v>10</v>
      </c>
      <c r="W20" s="16" t="e">
        <f t="shared" si="1"/>
        <v>#DIV/0!</v>
      </c>
      <c r="X20" s="16" t="e">
        <f t="shared" si="2"/>
        <v>#DIV/0!</v>
      </c>
      <c r="Y20" s="1">
        <f t="shared" si="3"/>
        <v>1</v>
      </c>
    </row>
    <row r="21" spans="1:25" x14ac:dyDescent="0.2">
      <c r="A21" s="15">
        <v>45908.84375</v>
      </c>
      <c r="B21" t="s">
        <v>52</v>
      </c>
      <c r="C21">
        <v>24</v>
      </c>
      <c r="D21" t="s">
        <v>53</v>
      </c>
      <c r="E21">
        <v>27</v>
      </c>
      <c r="F21">
        <f t="shared" si="0"/>
        <v>-3</v>
      </c>
      <c r="G21">
        <v>0</v>
      </c>
      <c r="H21" s="16"/>
      <c r="I21" s="16"/>
      <c r="J21" s="16"/>
      <c r="K21" s="16"/>
      <c r="L21" s="17"/>
      <c r="O21" s="20" t="s">
        <v>32</v>
      </c>
      <c r="P21" s="1">
        <v>5</v>
      </c>
      <c r="Q21" s="1">
        <v>1E-4</v>
      </c>
      <c r="R21" s="1">
        <v>10</v>
      </c>
      <c r="W21" s="16" t="e">
        <f t="shared" si="1"/>
        <v>#DIV/0!</v>
      </c>
      <c r="X21" s="16" t="e">
        <f t="shared" si="2"/>
        <v>#DIV/0!</v>
      </c>
      <c r="Y21" s="1">
        <f t="shared" si="3"/>
        <v>-3</v>
      </c>
    </row>
    <row r="22" spans="1:25" x14ac:dyDescent="0.2">
      <c r="A22" s="15">
        <v>45911.84375</v>
      </c>
      <c r="B22" t="s">
        <v>46</v>
      </c>
      <c r="C22">
        <v>27</v>
      </c>
      <c r="D22" t="s">
        <v>30</v>
      </c>
      <c r="E22">
        <v>18</v>
      </c>
      <c r="F22">
        <f t="shared" si="0"/>
        <v>9</v>
      </c>
      <c r="G22">
        <v>0</v>
      </c>
      <c r="H22" s="16"/>
      <c r="I22" s="16"/>
      <c r="J22" s="16"/>
      <c r="K22" s="16"/>
      <c r="L22" s="17"/>
      <c r="O22" s="20" t="s">
        <v>31</v>
      </c>
      <c r="P22" s="1">
        <v>5</v>
      </c>
      <c r="Q22" s="1">
        <v>1E-4</v>
      </c>
      <c r="R22" s="1">
        <v>10</v>
      </c>
      <c r="W22" s="16" t="e">
        <f t="shared" si="1"/>
        <v>#DIV/0!</v>
      </c>
      <c r="X22" s="16" t="e">
        <f t="shared" si="2"/>
        <v>#DIV/0!</v>
      </c>
      <c r="Y22" s="1">
        <f t="shared" si="3"/>
        <v>9</v>
      </c>
    </row>
    <row r="23" spans="1:25" x14ac:dyDescent="0.2">
      <c r="A23" s="15">
        <v>45914.541666666664</v>
      </c>
      <c r="B23" t="s">
        <v>27</v>
      </c>
      <c r="C23">
        <v>31</v>
      </c>
      <c r="D23" t="s">
        <v>34</v>
      </c>
      <c r="E23">
        <v>27</v>
      </c>
      <c r="F23">
        <f t="shared" si="0"/>
        <v>4</v>
      </c>
      <c r="G23">
        <v>0</v>
      </c>
      <c r="H23" s="16"/>
      <c r="I23" s="16"/>
      <c r="J23" s="16"/>
      <c r="K23" s="16"/>
      <c r="L23" s="17"/>
      <c r="O23" s="20" t="s">
        <v>34</v>
      </c>
      <c r="P23" s="1">
        <v>5</v>
      </c>
      <c r="Q23" s="1">
        <v>1E-4</v>
      </c>
      <c r="R23" s="1">
        <v>10</v>
      </c>
      <c r="W23" s="16" t="e">
        <f t="shared" si="1"/>
        <v>#DIV/0!</v>
      </c>
      <c r="X23" s="16" t="e">
        <f t="shared" si="2"/>
        <v>#DIV/0!</v>
      </c>
      <c r="Y23" s="1">
        <f t="shared" si="3"/>
        <v>4</v>
      </c>
    </row>
    <row r="24" spans="1:25" x14ac:dyDescent="0.2">
      <c r="A24" s="15">
        <v>45914.541666666664</v>
      </c>
      <c r="B24" t="s">
        <v>23</v>
      </c>
      <c r="C24">
        <v>40</v>
      </c>
      <c r="D24" t="s">
        <v>31</v>
      </c>
      <c r="E24">
        <v>37</v>
      </c>
      <c r="F24">
        <f t="shared" si="0"/>
        <v>3</v>
      </c>
      <c r="G24">
        <v>0</v>
      </c>
      <c r="H24" s="16"/>
      <c r="I24" s="16"/>
      <c r="J24" s="16"/>
      <c r="K24" s="16"/>
      <c r="L24" s="17"/>
      <c r="O24" s="20" t="s">
        <v>36</v>
      </c>
      <c r="P24" s="1">
        <v>5</v>
      </c>
      <c r="Q24" s="1">
        <v>1E-4</v>
      </c>
      <c r="R24" s="1">
        <v>10</v>
      </c>
      <c r="W24" s="16" t="e">
        <f t="shared" si="1"/>
        <v>#DIV/0!</v>
      </c>
      <c r="X24" s="16" t="e">
        <f t="shared" si="2"/>
        <v>#DIV/0!</v>
      </c>
      <c r="Y24" s="1">
        <f t="shared" si="3"/>
        <v>3</v>
      </c>
    </row>
    <row r="25" spans="1:25" x14ac:dyDescent="0.2">
      <c r="A25" s="15">
        <v>45914.541666666664</v>
      </c>
      <c r="B25" t="s">
        <v>29</v>
      </c>
      <c r="C25">
        <v>27</v>
      </c>
      <c r="D25" t="s">
        <v>38</v>
      </c>
      <c r="E25">
        <v>33</v>
      </c>
      <c r="F25">
        <f t="shared" si="0"/>
        <v>-6</v>
      </c>
      <c r="G25">
        <v>0</v>
      </c>
      <c r="H25" s="16"/>
      <c r="I25" s="16"/>
      <c r="J25" s="16"/>
      <c r="K25" s="16"/>
      <c r="L25" s="17"/>
      <c r="O25" s="20" t="s">
        <v>47</v>
      </c>
      <c r="P25" s="1">
        <v>5</v>
      </c>
      <c r="Q25" s="1">
        <v>1E-4</v>
      </c>
      <c r="R25" s="1">
        <v>10</v>
      </c>
      <c r="W25" s="16" t="e">
        <f t="shared" si="1"/>
        <v>#DIV/0!</v>
      </c>
      <c r="X25" s="16" t="e">
        <f t="shared" si="2"/>
        <v>#DIV/0!</v>
      </c>
      <c r="Y25" s="1">
        <f t="shared" si="3"/>
        <v>-6</v>
      </c>
    </row>
    <row r="26" spans="1:25" x14ac:dyDescent="0.2">
      <c r="A26" s="15">
        <v>45914.541666666664</v>
      </c>
      <c r="B26" t="s">
        <v>36</v>
      </c>
      <c r="C26">
        <v>10</v>
      </c>
      <c r="D26" t="s">
        <v>50</v>
      </c>
      <c r="E26">
        <v>30</v>
      </c>
      <c r="F26">
        <f t="shared" si="0"/>
        <v>-20</v>
      </c>
      <c r="G26">
        <v>0</v>
      </c>
      <c r="H26" s="16"/>
      <c r="I26" s="16"/>
      <c r="J26" s="16"/>
      <c r="K26" s="16"/>
      <c r="L26" s="17"/>
      <c r="O26" s="20" t="s">
        <v>46</v>
      </c>
      <c r="P26" s="1">
        <v>5</v>
      </c>
      <c r="Q26" s="1">
        <v>1E-4</v>
      </c>
      <c r="R26" s="1">
        <v>10</v>
      </c>
      <c r="W26" s="16" t="e">
        <f t="shared" si="1"/>
        <v>#DIV/0!</v>
      </c>
      <c r="X26" s="16" t="e">
        <f t="shared" si="2"/>
        <v>#DIV/0!</v>
      </c>
      <c r="Y26" s="1">
        <f t="shared" si="3"/>
        <v>-20</v>
      </c>
    </row>
    <row r="27" spans="1:25" x14ac:dyDescent="0.2">
      <c r="A27" s="15">
        <v>45914.541666666664</v>
      </c>
      <c r="B27" t="s">
        <v>47</v>
      </c>
      <c r="C27">
        <v>52</v>
      </c>
      <c r="D27" t="s">
        <v>52</v>
      </c>
      <c r="E27">
        <v>21</v>
      </c>
      <c r="F27">
        <f t="shared" si="0"/>
        <v>31</v>
      </c>
      <c r="G27">
        <v>0</v>
      </c>
      <c r="H27" s="16"/>
      <c r="I27" s="16"/>
      <c r="J27" s="16"/>
      <c r="K27" s="16"/>
      <c r="L27" s="17"/>
      <c r="O27" s="20" t="s">
        <v>35</v>
      </c>
      <c r="P27" s="1">
        <v>5</v>
      </c>
      <c r="Q27" s="1">
        <v>1E-4</v>
      </c>
      <c r="R27" s="1">
        <v>10</v>
      </c>
      <c r="W27" s="16" t="e">
        <f t="shared" si="1"/>
        <v>#DIV/0!</v>
      </c>
      <c r="X27" s="16" t="e">
        <f t="shared" si="2"/>
        <v>#DIV/0!</v>
      </c>
      <c r="Y27" s="1">
        <f t="shared" si="3"/>
        <v>31</v>
      </c>
    </row>
    <row r="28" spans="1:25" x14ac:dyDescent="0.2">
      <c r="A28" s="15">
        <v>45914.541666666664</v>
      </c>
      <c r="B28" t="s">
        <v>51</v>
      </c>
      <c r="C28">
        <v>41</v>
      </c>
      <c r="D28" t="s">
        <v>26</v>
      </c>
      <c r="E28">
        <v>17</v>
      </c>
      <c r="F28">
        <f t="shared" si="0"/>
        <v>24</v>
      </c>
      <c r="G28">
        <v>0</v>
      </c>
      <c r="H28" s="16"/>
      <c r="I28" s="16"/>
      <c r="J28" s="16"/>
      <c r="K28" s="16"/>
      <c r="L28" s="17"/>
      <c r="O28" s="20" t="s">
        <v>38</v>
      </c>
      <c r="P28" s="1">
        <v>5</v>
      </c>
      <c r="Q28" s="1">
        <v>1E-4</v>
      </c>
      <c r="R28" s="1">
        <v>10</v>
      </c>
      <c r="W28" s="16" t="e">
        <f t="shared" si="1"/>
        <v>#DIV/0!</v>
      </c>
      <c r="X28" s="16" t="e">
        <f t="shared" si="2"/>
        <v>#DIV/0!</v>
      </c>
      <c r="Y28" s="1">
        <f t="shared" si="3"/>
        <v>24</v>
      </c>
    </row>
    <row r="29" spans="1:25" x14ac:dyDescent="0.2">
      <c r="A29" s="15">
        <v>45914.541666666664</v>
      </c>
      <c r="B29" t="s">
        <v>40</v>
      </c>
      <c r="C29">
        <v>21</v>
      </c>
      <c r="D29" t="s">
        <v>45</v>
      </c>
      <c r="E29">
        <v>26</v>
      </c>
      <c r="F29">
        <f t="shared" si="0"/>
        <v>-5</v>
      </c>
      <c r="G29">
        <v>0</v>
      </c>
      <c r="H29" s="16"/>
      <c r="I29" s="16"/>
      <c r="J29" s="16"/>
      <c r="K29" s="16"/>
      <c r="L29" s="17"/>
      <c r="O29" s="20" t="s">
        <v>39</v>
      </c>
      <c r="P29" s="1">
        <v>5</v>
      </c>
      <c r="Q29" s="1">
        <v>1E-4</v>
      </c>
      <c r="R29" s="1">
        <v>10</v>
      </c>
      <c r="W29" s="16" t="e">
        <f t="shared" si="1"/>
        <v>#DIV/0!</v>
      </c>
      <c r="X29" s="16" t="e">
        <f t="shared" si="2"/>
        <v>#DIV/0!</v>
      </c>
      <c r="Y29" s="1">
        <f t="shared" si="3"/>
        <v>-5</v>
      </c>
    </row>
    <row r="30" spans="1:25" x14ac:dyDescent="0.2">
      <c r="A30" s="15">
        <v>45914.541666666664</v>
      </c>
      <c r="B30" t="s">
        <v>37</v>
      </c>
      <c r="C30">
        <v>17</v>
      </c>
      <c r="D30" t="s">
        <v>44</v>
      </c>
      <c r="E30">
        <v>31</v>
      </c>
      <c r="F30">
        <f t="shared" si="0"/>
        <v>-14</v>
      </c>
      <c r="G30">
        <v>0</v>
      </c>
      <c r="H30" s="16"/>
      <c r="I30" s="16"/>
      <c r="J30" s="16"/>
      <c r="K30" s="16"/>
      <c r="L30" s="17"/>
      <c r="O30" s="20" t="s">
        <v>48</v>
      </c>
      <c r="P30" s="1">
        <v>5</v>
      </c>
      <c r="Q30" s="1">
        <v>1E-4</v>
      </c>
      <c r="R30" s="1">
        <v>10</v>
      </c>
      <c r="W30" s="16" t="e">
        <f t="shared" si="1"/>
        <v>#DIV/0!</v>
      </c>
      <c r="X30" s="16" t="e">
        <f t="shared" si="2"/>
        <v>#DIV/0!</v>
      </c>
      <c r="Y30" s="1">
        <f t="shared" si="3"/>
        <v>-14</v>
      </c>
    </row>
    <row r="31" spans="1:25" x14ac:dyDescent="0.2">
      <c r="A31" s="15">
        <v>45914.541666666664</v>
      </c>
      <c r="B31" t="s">
        <v>43</v>
      </c>
      <c r="C31">
        <v>19</v>
      </c>
      <c r="D31" t="s">
        <v>48</v>
      </c>
      <c r="E31">
        <v>33</v>
      </c>
      <c r="F31">
        <f t="shared" si="0"/>
        <v>-14</v>
      </c>
      <c r="G31">
        <v>0</v>
      </c>
      <c r="H31" s="16"/>
      <c r="I31" s="16"/>
      <c r="J31" s="16"/>
      <c r="K31" s="16"/>
      <c r="L31" s="17"/>
      <c r="O31" s="20" t="s">
        <v>51</v>
      </c>
      <c r="P31" s="1">
        <v>5</v>
      </c>
      <c r="Q31" s="1">
        <v>1E-4</v>
      </c>
      <c r="R31" s="1">
        <v>10</v>
      </c>
      <c r="W31" s="16" t="e">
        <f t="shared" si="1"/>
        <v>#DIV/0!</v>
      </c>
      <c r="X31" s="16" t="e">
        <f t="shared" si="2"/>
        <v>#DIV/0!</v>
      </c>
      <c r="Y31" s="1">
        <f t="shared" si="3"/>
        <v>-14</v>
      </c>
    </row>
    <row r="32" spans="1:25" x14ac:dyDescent="0.2">
      <c r="A32" s="15">
        <v>45914.670138888891</v>
      </c>
      <c r="B32" t="s">
        <v>41</v>
      </c>
      <c r="C32">
        <v>27</v>
      </c>
      <c r="D32" t="s">
        <v>35</v>
      </c>
      <c r="E32">
        <v>22</v>
      </c>
      <c r="F32">
        <f t="shared" si="0"/>
        <v>5</v>
      </c>
      <c r="G32">
        <v>0</v>
      </c>
      <c r="H32" s="16"/>
      <c r="I32" s="16"/>
      <c r="J32" s="16"/>
      <c r="K32" s="16"/>
      <c r="L32" s="17"/>
      <c r="O32" s="20" t="s">
        <v>40</v>
      </c>
      <c r="P32" s="1">
        <v>5</v>
      </c>
      <c r="Q32" s="1">
        <v>1E-4</v>
      </c>
      <c r="R32" s="1">
        <v>10</v>
      </c>
      <c r="W32" s="16" t="e">
        <f t="shared" si="1"/>
        <v>#DIV/0!</v>
      </c>
      <c r="X32" s="16" t="e">
        <f t="shared" si="2"/>
        <v>#DIV/0!</v>
      </c>
      <c r="Y32" s="1">
        <f t="shared" si="3"/>
        <v>5</v>
      </c>
    </row>
    <row r="33" spans="1:25" x14ac:dyDescent="0.2">
      <c r="A33" s="15">
        <v>45914.670138888891</v>
      </c>
      <c r="B33" t="s">
        <v>28</v>
      </c>
      <c r="C33">
        <v>29</v>
      </c>
      <c r="D33" t="s">
        <v>42</v>
      </c>
      <c r="E33">
        <v>28</v>
      </c>
      <c r="F33">
        <f t="shared" si="0"/>
        <v>1</v>
      </c>
      <c r="G33">
        <v>0</v>
      </c>
      <c r="H33" s="16"/>
      <c r="I33" s="16"/>
      <c r="J33" s="16"/>
      <c r="K33" s="16"/>
      <c r="L33" s="17"/>
      <c r="O33" s="20" t="s">
        <v>44</v>
      </c>
      <c r="P33" s="1">
        <v>5</v>
      </c>
      <c r="Q33" s="1">
        <v>1E-4</v>
      </c>
      <c r="R33" s="1">
        <v>10</v>
      </c>
      <c r="W33" s="16" t="e">
        <f t="shared" si="1"/>
        <v>#DIV/0!</v>
      </c>
      <c r="X33" s="16" t="e">
        <f t="shared" si="2"/>
        <v>#DIV/0!</v>
      </c>
      <c r="Y33" s="1">
        <f t="shared" si="3"/>
        <v>1</v>
      </c>
    </row>
    <row r="34" spans="1:25" x14ac:dyDescent="0.2">
      <c r="A34" s="15">
        <v>45914.684027777781</v>
      </c>
      <c r="B34" t="s">
        <v>25</v>
      </c>
      <c r="C34">
        <v>17</v>
      </c>
      <c r="D34" t="s">
        <v>22</v>
      </c>
      <c r="E34">
        <v>20</v>
      </c>
      <c r="F34">
        <f t="shared" si="0"/>
        <v>-3</v>
      </c>
      <c r="G34">
        <v>0</v>
      </c>
      <c r="H34" s="16"/>
      <c r="I34" s="16"/>
      <c r="J34" s="16"/>
      <c r="K34" s="16"/>
      <c r="L34" s="17"/>
      <c r="O34" s="20" t="s">
        <v>37</v>
      </c>
      <c r="P34" s="1">
        <v>5</v>
      </c>
      <c r="Q34" s="1">
        <v>1E-4</v>
      </c>
      <c r="R34" s="1">
        <v>10</v>
      </c>
      <c r="W34" s="16" t="e">
        <f t="shared" si="1"/>
        <v>#DIV/0!</v>
      </c>
      <c r="X34" s="16" t="e">
        <f t="shared" si="2"/>
        <v>#DIV/0!</v>
      </c>
      <c r="Y34" s="1">
        <f t="shared" si="3"/>
        <v>-3</v>
      </c>
    </row>
    <row r="35" spans="1:25" x14ac:dyDescent="0.2">
      <c r="A35" s="15">
        <v>45914.847222222219</v>
      </c>
      <c r="B35" t="s">
        <v>53</v>
      </c>
      <c r="C35">
        <v>6</v>
      </c>
      <c r="D35" t="s">
        <v>32</v>
      </c>
      <c r="E35">
        <v>22</v>
      </c>
      <c r="F35">
        <f t="shared" si="0"/>
        <v>-16</v>
      </c>
      <c r="G35">
        <v>0</v>
      </c>
      <c r="H35" s="16"/>
      <c r="I35" s="16"/>
      <c r="J35" s="16"/>
      <c r="K35" s="16"/>
      <c r="L35" s="17"/>
      <c r="O35" s="20" t="s">
        <v>49</v>
      </c>
      <c r="P35" s="1">
        <v>5</v>
      </c>
      <c r="Q35" s="1">
        <v>1E-4</v>
      </c>
      <c r="R35" s="1">
        <v>10</v>
      </c>
      <c r="W35" s="16" t="e">
        <f t="shared" si="1"/>
        <v>#DIV/0!</v>
      </c>
      <c r="X35" s="16" t="e">
        <f t="shared" si="2"/>
        <v>#DIV/0!</v>
      </c>
      <c r="Y35" s="1">
        <f t="shared" si="3"/>
        <v>-16</v>
      </c>
    </row>
    <row r="36" spans="1:25" x14ac:dyDescent="0.2">
      <c r="A36" s="15">
        <v>45915.791666666664</v>
      </c>
      <c r="B36" t="s">
        <v>49</v>
      </c>
      <c r="C36">
        <v>19</v>
      </c>
      <c r="D36" t="s">
        <v>33</v>
      </c>
      <c r="E36">
        <v>20</v>
      </c>
      <c r="F36">
        <f t="shared" si="0"/>
        <v>-1</v>
      </c>
      <c r="G36">
        <v>0</v>
      </c>
      <c r="H36" s="16"/>
      <c r="I36" s="16"/>
      <c r="J36" s="16"/>
      <c r="K36" s="16"/>
      <c r="L36" s="17"/>
      <c r="O36" s="20" t="s">
        <v>43</v>
      </c>
      <c r="P36" s="1">
        <v>5</v>
      </c>
      <c r="Q36" s="1">
        <v>1E-4</v>
      </c>
      <c r="R36" s="1">
        <v>10</v>
      </c>
      <c r="W36" s="16" t="e">
        <f t="shared" si="1"/>
        <v>#DIV/0!</v>
      </c>
      <c r="X36" s="16" t="e">
        <f t="shared" si="2"/>
        <v>#DIV/0!</v>
      </c>
      <c r="Y36" s="1">
        <f t="shared" si="3"/>
        <v>-1</v>
      </c>
    </row>
    <row r="37" spans="1:25" x14ac:dyDescent="0.2">
      <c r="A37" s="15">
        <v>45915.916666666664</v>
      </c>
      <c r="B37" t="s">
        <v>39</v>
      </c>
      <c r="C37">
        <v>9</v>
      </c>
      <c r="D37" t="s">
        <v>24</v>
      </c>
      <c r="E37">
        <v>20</v>
      </c>
      <c r="F37">
        <f t="shared" si="0"/>
        <v>-11</v>
      </c>
      <c r="G37">
        <v>0</v>
      </c>
      <c r="H37" s="16"/>
      <c r="I37" s="16"/>
      <c r="J37" s="16"/>
      <c r="K37" s="16"/>
      <c r="L37" s="17"/>
      <c r="O37" s="20" t="s">
        <v>53</v>
      </c>
      <c r="P37" s="1">
        <v>5</v>
      </c>
      <c r="Q37" s="1">
        <v>1E-4</v>
      </c>
      <c r="R37" s="1">
        <v>10</v>
      </c>
      <c r="W37" s="16" t="e">
        <f t="shared" si="1"/>
        <v>#DIV/0!</v>
      </c>
      <c r="X37" s="16" t="e">
        <f t="shared" si="2"/>
        <v>#DIV/0!</v>
      </c>
      <c r="Y37" s="1">
        <f t="shared" si="3"/>
        <v>-11</v>
      </c>
    </row>
    <row r="38" spans="1:25" x14ac:dyDescent="0.2">
      <c r="A38" s="15">
        <v>45918.84375</v>
      </c>
      <c r="B38" t="s">
        <v>50</v>
      </c>
      <c r="C38">
        <v>31</v>
      </c>
      <c r="D38" t="s">
        <v>29</v>
      </c>
      <c r="E38">
        <v>21</v>
      </c>
      <c r="F38">
        <f t="shared" si="0"/>
        <v>10</v>
      </c>
      <c r="G38">
        <v>0</v>
      </c>
      <c r="H38" s="16"/>
      <c r="I38" s="16"/>
      <c r="J38" s="16"/>
      <c r="K38" s="16"/>
      <c r="L38" s="17"/>
      <c r="O38" s="1" t="s">
        <v>14</v>
      </c>
      <c r="P38" s="1">
        <v>5</v>
      </c>
      <c r="Q38" s="1">
        <v>1E-4</v>
      </c>
      <c r="R38" s="1">
        <v>10</v>
      </c>
      <c r="W38" s="16" t="e">
        <f t="shared" si="1"/>
        <v>#DIV/0!</v>
      </c>
      <c r="X38" s="16" t="e">
        <f t="shared" si="2"/>
        <v>#DIV/0!</v>
      </c>
      <c r="Y38" s="1">
        <f t="shared" si="3"/>
        <v>10</v>
      </c>
    </row>
    <row r="39" spans="1:25" x14ac:dyDescent="0.2">
      <c r="A39" s="15">
        <v>45921.541666666664</v>
      </c>
      <c r="B39" t="s">
        <v>26</v>
      </c>
      <c r="C39">
        <v>13</v>
      </c>
      <c r="D39" t="s">
        <v>46</v>
      </c>
      <c r="E39">
        <v>10</v>
      </c>
      <c r="F39">
        <f t="shared" si="0"/>
        <v>3</v>
      </c>
      <c r="G39">
        <v>0</v>
      </c>
      <c r="H39" s="16"/>
      <c r="I39" s="16"/>
      <c r="J39" s="16"/>
      <c r="K39" s="16"/>
      <c r="L39" s="17"/>
      <c r="W39" s="16" t="e">
        <f t="shared" si="1"/>
        <v>#DIV/0!</v>
      </c>
      <c r="X39" s="16" t="e">
        <f t="shared" si="2"/>
        <v>#DIV/0!</v>
      </c>
      <c r="Y39" s="1">
        <f t="shared" si="3"/>
        <v>3</v>
      </c>
    </row>
    <row r="40" spans="1:25" x14ac:dyDescent="0.2">
      <c r="A40" s="15">
        <v>45921.541666666664</v>
      </c>
      <c r="B40" t="s">
        <v>33</v>
      </c>
      <c r="C40">
        <v>29</v>
      </c>
      <c r="D40" t="s">
        <v>36</v>
      </c>
      <c r="E40">
        <v>27</v>
      </c>
      <c r="F40">
        <f t="shared" si="0"/>
        <v>2</v>
      </c>
      <c r="G40">
        <v>0</v>
      </c>
      <c r="H40" s="16"/>
      <c r="I40" s="16"/>
      <c r="J40" s="16"/>
      <c r="K40" s="16"/>
      <c r="L40" s="17"/>
      <c r="W40" s="16" t="e">
        <f t="shared" si="1"/>
        <v>#DIV/0!</v>
      </c>
      <c r="X40" s="16" t="e">
        <f t="shared" si="2"/>
        <v>#DIV/0!</v>
      </c>
      <c r="Y40" s="1">
        <f t="shared" si="3"/>
        <v>2</v>
      </c>
    </row>
    <row r="41" spans="1:25" x14ac:dyDescent="0.2">
      <c r="A41" s="15">
        <v>45921.541666666664</v>
      </c>
      <c r="B41" t="s">
        <v>30</v>
      </c>
      <c r="C41">
        <v>41</v>
      </c>
      <c r="D41" t="s">
        <v>39</v>
      </c>
      <c r="E41">
        <v>24</v>
      </c>
      <c r="F41">
        <f t="shared" si="0"/>
        <v>17</v>
      </c>
      <c r="G41">
        <v>0</v>
      </c>
      <c r="H41" s="16"/>
      <c r="I41" s="16"/>
      <c r="J41" s="16"/>
      <c r="K41" s="16"/>
      <c r="L41" s="17"/>
      <c r="W41" s="16" t="e">
        <f t="shared" si="1"/>
        <v>#DIV/0!</v>
      </c>
      <c r="X41" s="16" t="e">
        <f t="shared" si="2"/>
        <v>#DIV/0!</v>
      </c>
      <c r="Y41" s="1">
        <f t="shared" si="3"/>
        <v>17</v>
      </c>
    </row>
    <row r="42" spans="1:25" x14ac:dyDescent="0.2">
      <c r="A42" s="15">
        <v>45921.541666666664</v>
      </c>
      <c r="B42" t="s">
        <v>22</v>
      </c>
      <c r="C42">
        <v>33</v>
      </c>
      <c r="D42" t="s">
        <v>48</v>
      </c>
      <c r="E42">
        <v>26</v>
      </c>
      <c r="F42">
        <f t="shared" si="0"/>
        <v>7</v>
      </c>
      <c r="G42">
        <v>0</v>
      </c>
      <c r="H42" s="16"/>
      <c r="I42" s="16"/>
      <c r="J42" s="16"/>
      <c r="K42" s="16"/>
      <c r="L42" s="17"/>
      <c r="W42" s="16" t="e">
        <f t="shared" si="1"/>
        <v>#DIV/0!</v>
      </c>
      <c r="X42" s="16" t="e">
        <f t="shared" si="2"/>
        <v>#DIV/0!</v>
      </c>
      <c r="Y42" s="1">
        <f t="shared" si="3"/>
        <v>7</v>
      </c>
    </row>
    <row r="43" spans="1:25" x14ac:dyDescent="0.2">
      <c r="A43" s="15">
        <v>45921.541666666664</v>
      </c>
      <c r="B43" t="s">
        <v>34</v>
      </c>
      <c r="C43">
        <v>17</v>
      </c>
      <c r="D43" t="s">
        <v>49</v>
      </c>
      <c r="E43">
        <v>10</v>
      </c>
      <c r="F43">
        <f t="shared" si="0"/>
        <v>7</v>
      </c>
      <c r="G43">
        <v>0</v>
      </c>
      <c r="H43" s="16"/>
      <c r="I43" s="16"/>
      <c r="J43" s="16"/>
      <c r="K43" s="16"/>
      <c r="L43" s="17"/>
      <c r="W43" s="16" t="e">
        <f t="shared" si="1"/>
        <v>#DIV/0!</v>
      </c>
      <c r="X43" s="16" t="e">
        <f t="shared" si="2"/>
        <v>#DIV/0!</v>
      </c>
      <c r="Y43" s="1">
        <f t="shared" si="3"/>
        <v>7</v>
      </c>
    </row>
    <row r="44" spans="1:25" x14ac:dyDescent="0.2">
      <c r="A44" s="15">
        <v>45921.541666666664</v>
      </c>
      <c r="B44" t="s">
        <v>35</v>
      </c>
      <c r="C44">
        <v>30</v>
      </c>
      <c r="D44" t="s">
        <v>32</v>
      </c>
      <c r="E44">
        <v>0</v>
      </c>
      <c r="F44">
        <f t="shared" si="0"/>
        <v>30</v>
      </c>
      <c r="G44">
        <v>0</v>
      </c>
      <c r="H44" s="16"/>
      <c r="I44" s="16"/>
      <c r="J44" s="16"/>
      <c r="K44" s="16"/>
      <c r="L44" s="17"/>
      <c r="W44" s="16" t="e">
        <f t="shared" si="1"/>
        <v>#DIV/0!</v>
      </c>
      <c r="X44" s="16" t="e">
        <f t="shared" si="2"/>
        <v>#DIV/0!</v>
      </c>
      <c r="Y44" s="1">
        <f t="shared" si="3"/>
        <v>30</v>
      </c>
    </row>
    <row r="45" spans="1:25" x14ac:dyDescent="0.2">
      <c r="A45" s="15">
        <v>45921.541666666664</v>
      </c>
      <c r="B45" t="s">
        <v>38</v>
      </c>
      <c r="C45">
        <v>14</v>
      </c>
      <c r="D45" t="s">
        <v>37</v>
      </c>
      <c r="E45">
        <v>21</v>
      </c>
      <c r="F45">
        <f t="shared" si="0"/>
        <v>-7</v>
      </c>
      <c r="G45">
        <v>0</v>
      </c>
      <c r="H45" s="16"/>
      <c r="I45" s="16"/>
      <c r="J45" s="16"/>
      <c r="K45" s="16"/>
      <c r="L45" s="17"/>
      <c r="W45" s="16" t="e">
        <f t="shared" si="1"/>
        <v>#DIV/0!</v>
      </c>
      <c r="X45" s="16" t="e">
        <f t="shared" si="2"/>
        <v>#DIV/0!</v>
      </c>
      <c r="Y45" s="1">
        <f t="shared" si="3"/>
        <v>-7</v>
      </c>
    </row>
    <row r="46" spans="1:25" x14ac:dyDescent="0.2">
      <c r="A46" s="15">
        <v>45921.541666666664</v>
      </c>
      <c r="B46" t="s">
        <v>43</v>
      </c>
      <c r="C46">
        <v>20</v>
      </c>
      <c r="D46" t="s">
        <v>28</v>
      </c>
      <c r="E46">
        <v>41</v>
      </c>
      <c r="F46">
        <f t="shared" si="0"/>
        <v>-21</v>
      </c>
      <c r="G46">
        <v>0</v>
      </c>
      <c r="H46" s="16"/>
      <c r="I46" s="16"/>
      <c r="J46" s="16"/>
      <c r="K46" s="16"/>
      <c r="L46" s="17"/>
      <c r="W46" s="16" t="e">
        <f t="shared" si="1"/>
        <v>#DIV/0!</v>
      </c>
      <c r="X46" s="16" t="e">
        <f t="shared" si="2"/>
        <v>#DIV/0!</v>
      </c>
      <c r="Y46" s="1">
        <f t="shared" si="3"/>
        <v>-21</v>
      </c>
    </row>
    <row r="47" spans="1:25" x14ac:dyDescent="0.2">
      <c r="A47" s="15">
        <v>45921.541666666664</v>
      </c>
      <c r="B47" t="s">
        <v>53</v>
      </c>
      <c r="C47">
        <v>48</v>
      </c>
      <c r="D47" t="s">
        <v>27</v>
      </c>
      <c r="E47">
        <v>10</v>
      </c>
      <c r="F47">
        <f t="shared" si="0"/>
        <v>38</v>
      </c>
      <c r="G47">
        <v>0</v>
      </c>
      <c r="H47" s="16"/>
      <c r="I47" s="16"/>
      <c r="J47" s="16"/>
      <c r="K47" s="16"/>
      <c r="L47" s="17"/>
      <c r="W47" s="16" t="e">
        <f t="shared" si="1"/>
        <v>#DIV/0!</v>
      </c>
      <c r="X47" s="16" t="e">
        <f t="shared" si="2"/>
        <v>#DIV/0!</v>
      </c>
      <c r="Y47" s="1">
        <f t="shared" si="3"/>
        <v>38</v>
      </c>
    </row>
    <row r="48" spans="1:25" x14ac:dyDescent="0.2">
      <c r="A48" s="15">
        <v>45921.670138888891</v>
      </c>
      <c r="B48" t="s">
        <v>24</v>
      </c>
      <c r="C48">
        <v>23</v>
      </c>
      <c r="D48" t="s">
        <v>42</v>
      </c>
      <c r="E48">
        <v>20</v>
      </c>
      <c r="F48">
        <f t="shared" si="0"/>
        <v>3</v>
      </c>
      <c r="G48">
        <v>0</v>
      </c>
      <c r="H48" s="16"/>
      <c r="I48" s="16"/>
      <c r="J48" s="16"/>
      <c r="K48" s="16"/>
      <c r="L48" s="17"/>
      <c r="W48" s="16" t="e">
        <f t="shared" si="1"/>
        <v>#DIV/0!</v>
      </c>
      <c r="X48" s="16" t="e">
        <f t="shared" si="2"/>
        <v>#DIV/0!</v>
      </c>
      <c r="Y48" s="1">
        <f t="shared" si="3"/>
        <v>3</v>
      </c>
    </row>
    <row r="49" spans="1:25" x14ac:dyDescent="0.2">
      <c r="A49" s="15">
        <v>45921.670138888891</v>
      </c>
      <c r="B49" t="s">
        <v>44</v>
      </c>
      <c r="C49">
        <v>44</v>
      </c>
      <c r="D49" t="s">
        <v>40</v>
      </c>
      <c r="E49">
        <v>13</v>
      </c>
      <c r="F49">
        <f t="shared" si="0"/>
        <v>31</v>
      </c>
      <c r="G49">
        <v>0</v>
      </c>
      <c r="H49" s="16"/>
      <c r="I49" s="16"/>
      <c r="J49" s="16"/>
      <c r="K49" s="16"/>
      <c r="L49" s="17"/>
      <c r="W49" s="16" t="e">
        <f t="shared" si="1"/>
        <v>#DIV/0!</v>
      </c>
      <c r="X49" s="16" t="e">
        <f t="shared" si="2"/>
        <v>#DIV/0!</v>
      </c>
      <c r="Y49" s="1">
        <f t="shared" si="3"/>
        <v>31</v>
      </c>
    </row>
    <row r="50" spans="1:25" x14ac:dyDescent="0.2">
      <c r="A50" s="15">
        <v>45921.684027777781</v>
      </c>
      <c r="B50" t="s">
        <v>45</v>
      </c>
      <c r="C50">
        <v>16</v>
      </c>
      <c r="D50" t="s">
        <v>41</v>
      </c>
      <c r="E50">
        <v>15</v>
      </c>
      <c r="F50">
        <f t="shared" si="0"/>
        <v>1</v>
      </c>
      <c r="G50">
        <v>0</v>
      </c>
      <c r="H50" s="16"/>
      <c r="I50" s="16"/>
      <c r="J50" s="16"/>
      <c r="K50" s="16"/>
      <c r="L50" s="17"/>
      <c r="W50" s="16" t="e">
        <f t="shared" si="1"/>
        <v>#DIV/0!</v>
      </c>
      <c r="X50" s="16" t="e">
        <f t="shared" si="2"/>
        <v>#DIV/0!</v>
      </c>
      <c r="Y50" s="1">
        <f t="shared" si="3"/>
        <v>1</v>
      </c>
    </row>
    <row r="51" spans="1:25" x14ac:dyDescent="0.2">
      <c r="A51" s="15">
        <v>45921.684027777781</v>
      </c>
      <c r="B51" t="s">
        <v>52</v>
      </c>
      <c r="C51">
        <v>31</v>
      </c>
      <c r="D51" t="s">
        <v>23</v>
      </c>
      <c r="E51">
        <v>14</v>
      </c>
      <c r="F51">
        <f t="shared" si="0"/>
        <v>17</v>
      </c>
      <c r="G51">
        <v>0</v>
      </c>
      <c r="H51" s="16"/>
      <c r="I51" s="16"/>
      <c r="J51" s="16"/>
      <c r="K51" s="16"/>
      <c r="L51" s="17"/>
      <c r="W51" s="16" t="e">
        <f t="shared" si="1"/>
        <v>#DIV/0!</v>
      </c>
      <c r="X51" s="16" t="e">
        <f t="shared" si="2"/>
        <v>#DIV/0!</v>
      </c>
      <c r="Y51" s="1">
        <f t="shared" si="3"/>
        <v>17</v>
      </c>
    </row>
    <row r="52" spans="1:25" x14ac:dyDescent="0.2">
      <c r="A52" s="15">
        <v>45921.847222222219</v>
      </c>
      <c r="B52" t="s">
        <v>31</v>
      </c>
      <c r="C52">
        <v>9</v>
      </c>
      <c r="D52" t="s">
        <v>25</v>
      </c>
      <c r="E52">
        <v>22</v>
      </c>
      <c r="F52">
        <f t="shared" si="0"/>
        <v>-13</v>
      </c>
      <c r="G52">
        <v>0</v>
      </c>
      <c r="H52" s="16"/>
      <c r="I52" s="16"/>
      <c r="J52" s="16"/>
      <c r="K52" s="16"/>
      <c r="L52" s="17"/>
      <c r="W52" s="16" t="e">
        <f t="shared" si="1"/>
        <v>#DIV/0!</v>
      </c>
      <c r="X52" s="16" t="e">
        <f t="shared" si="2"/>
        <v>#DIV/0!</v>
      </c>
      <c r="Y52" s="1">
        <f t="shared" si="3"/>
        <v>-13</v>
      </c>
    </row>
    <row r="53" spans="1:25" x14ac:dyDescent="0.2">
      <c r="A53" s="15">
        <v>45922.84375</v>
      </c>
      <c r="B53" t="s">
        <v>51</v>
      </c>
      <c r="C53">
        <v>30</v>
      </c>
      <c r="D53" t="s">
        <v>47</v>
      </c>
      <c r="E53">
        <v>38</v>
      </c>
      <c r="F53">
        <f t="shared" si="0"/>
        <v>-8</v>
      </c>
      <c r="G53">
        <v>0</v>
      </c>
      <c r="H53" s="16"/>
      <c r="I53" s="16"/>
      <c r="J53" s="16"/>
      <c r="K53" s="16"/>
      <c r="L53" s="17"/>
      <c r="W53" s="16" t="e">
        <f t="shared" si="1"/>
        <v>#DIV/0!</v>
      </c>
      <c r="X53" s="16" t="e">
        <f t="shared" si="2"/>
        <v>#DIV/0!</v>
      </c>
      <c r="Y53" s="1">
        <f t="shared" si="3"/>
        <v>-8</v>
      </c>
    </row>
    <row r="54" spans="1:25" x14ac:dyDescent="0.2">
      <c r="A54" s="15">
        <v>45925.84375</v>
      </c>
      <c r="B54" t="s">
        <v>41</v>
      </c>
      <c r="C54">
        <v>20</v>
      </c>
      <c r="D54" t="s">
        <v>44</v>
      </c>
      <c r="E54">
        <v>23</v>
      </c>
      <c r="F54">
        <f t="shared" si="0"/>
        <v>-3</v>
      </c>
      <c r="G54">
        <v>0</v>
      </c>
      <c r="H54" s="16"/>
      <c r="I54" s="16"/>
      <c r="J54" s="16"/>
      <c r="K54" s="16"/>
      <c r="L54" s="17"/>
      <c r="W54" s="16" t="e">
        <f t="shared" si="1"/>
        <v>#DIV/0!</v>
      </c>
      <c r="X54" s="16" t="e">
        <f t="shared" si="2"/>
        <v>#DIV/0!</v>
      </c>
      <c r="Y54" s="1">
        <f t="shared" si="3"/>
        <v>-3</v>
      </c>
    </row>
    <row r="55" spans="1:25" x14ac:dyDescent="0.2">
      <c r="A55" s="15">
        <v>45928.395833333336</v>
      </c>
      <c r="B55" t="s">
        <v>37</v>
      </c>
      <c r="C55">
        <v>24</v>
      </c>
      <c r="D55" t="s">
        <v>53</v>
      </c>
      <c r="E55">
        <v>21</v>
      </c>
      <c r="F55">
        <f t="shared" si="0"/>
        <v>3</v>
      </c>
      <c r="G55">
        <v>0</v>
      </c>
      <c r="H55" s="16"/>
      <c r="I55" s="16"/>
      <c r="J55" s="16"/>
      <c r="K55" s="16"/>
      <c r="L55" s="17"/>
      <c r="W55" s="16" t="e">
        <f t="shared" si="1"/>
        <v>#DIV/0!</v>
      </c>
      <c r="X55" s="16" t="e">
        <f t="shared" si="2"/>
        <v>#DIV/0!</v>
      </c>
      <c r="Y55" s="1">
        <f t="shared" si="3"/>
        <v>3</v>
      </c>
    </row>
    <row r="56" spans="1:25" x14ac:dyDescent="0.2">
      <c r="A56" s="15">
        <v>45928.541666666664</v>
      </c>
      <c r="B56" t="s">
        <v>50</v>
      </c>
      <c r="C56">
        <v>31</v>
      </c>
      <c r="D56" t="s">
        <v>40</v>
      </c>
      <c r="E56">
        <v>19</v>
      </c>
      <c r="F56">
        <f t="shared" si="0"/>
        <v>12</v>
      </c>
      <c r="G56">
        <v>0</v>
      </c>
      <c r="H56" s="16"/>
      <c r="I56" s="16"/>
      <c r="J56" s="16"/>
      <c r="K56" s="16"/>
      <c r="L56" s="17"/>
      <c r="W56" s="16" t="e">
        <f t="shared" si="1"/>
        <v>#DIV/0!</v>
      </c>
      <c r="X56" s="16" t="e">
        <f t="shared" si="2"/>
        <v>#DIV/0!</v>
      </c>
      <c r="Y56" s="1">
        <f t="shared" si="3"/>
        <v>12</v>
      </c>
    </row>
    <row r="57" spans="1:25" x14ac:dyDescent="0.2">
      <c r="A57" s="15">
        <v>45928.541666666664</v>
      </c>
      <c r="B57" t="s">
        <v>33</v>
      </c>
      <c r="C57">
        <v>25</v>
      </c>
      <c r="D57" t="s">
        <v>22</v>
      </c>
      <c r="E57">
        <v>31</v>
      </c>
      <c r="F57">
        <f t="shared" si="0"/>
        <v>-6</v>
      </c>
      <c r="G57">
        <v>0</v>
      </c>
      <c r="H57" s="16"/>
      <c r="I57" s="16"/>
      <c r="J57" s="16"/>
      <c r="K57" s="16"/>
      <c r="L57" s="17"/>
      <c r="W57" s="16" t="e">
        <f t="shared" si="1"/>
        <v>#DIV/0!</v>
      </c>
      <c r="X57" s="16" t="e">
        <f t="shared" si="2"/>
        <v>#DIV/0!</v>
      </c>
      <c r="Y57" s="1">
        <f t="shared" si="3"/>
        <v>-6</v>
      </c>
    </row>
    <row r="58" spans="1:25" x14ac:dyDescent="0.2">
      <c r="A58" s="15">
        <v>45928.541666666664</v>
      </c>
      <c r="B58" t="s">
        <v>32</v>
      </c>
      <c r="C58">
        <v>34</v>
      </c>
      <c r="D58" t="s">
        <v>30</v>
      </c>
      <c r="E58">
        <v>27</v>
      </c>
      <c r="F58">
        <f t="shared" si="0"/>
        <v>7</v>
      </c>
      <c r="G58">
        <v>0</v>
      </c>
      <c r="H58" s="16"/>
      <c r="I58" s="16"/>
      <c r="J58" s="16"/>
      <c r="K58" s="16"/>
      <c r="L58" s="17"/>
      <c r="W58" s="16" t="e">
        <f t="shared" si="1"/>
        <v>#DIV/0!</v>
      </c>
      <c r="X58" s="16" t="e">
        <f t="shared" si="2"/>
        <v>#DIV/0!</v>
      </c>
      <c r="Y58" s="1">
        <f t="shared" si="3"/>
        <v>7</v>
      </c>
    </row>
    <row r="59" spans="1:25" x14ac:dyDescent="0.2">
      <c r="A59" s="15">
        <v>45928.541666666664</v>
      </c>
      <c r="B59" t="s">
        <v>31</v>
      </c>
      <c r="C59">
        <v>21</v>
      </c>
      <c r="D59" t="s">
        <v>24</v>
      </c>
      <c r="E59">
        <v>18</v>
      </c>
      <c r="F59">
        <f t="shared" si="0"/>
        <v>3</v>
      </c>
      <c r="G59">
        <v>0</v>
      </c>
      <c r="H59" s="16"/>
      <c r="I59" s="16"/>
      <c r="J59" s="16"/>
      <c r="K59" s="16"/>
      <c r="L59" s="17"/>
      <c r="W59" s="16" t="e">
        <f t="shared" si="1"/>
        <v>#DIV/0!</v>
      </c>
      <c r="X59" s="16" t="e">
        <f t="shared" si="2"/>
        <v>#DIV/0!</v>
      </c>
      <c r="Y59" s="1">
        <f t="shared" si="3"/>
        <v>3</v>
      </c>
    </row>
    <row r="60" spans="1:25" x14ac:dyDescent="0.2">
      <c r="A60" s="15">
        <v>45928.541666666664</v>
      </c>
      <c r="B60" t="s">
        <v>47</v>
      </c>
      <c r="C60">
        <v>34</v>
      </c>
      <c r="D60" t="s">
        <v>26</v>
      </c>
      <c r="E60">
        <v>10</v>
      </c>
      <c r="F60">
        <f t="shared" si="0"/>
        <v>24</v>
      </c>
      <c r="G60">
        <v>0</v>
      </c>
      <c r="H60" s="16"/>
      <c r="I60" s="16"/>
      <c r="J60" s="16"/>
      <c r="K60" s="16"/>
      <c r="L60" s="17"/>
      <c r="W60" s="16" t="e">
        <f t="shared" si="1"/>
        <v>#DIV/0!</v>
      </c>
      <c r="X60" s="16" t="e">
        <f t="shared" si="2"/>
        <v>#DIV/0!</v>
      </c>
      <c r="Y60" s="1">
        <f t="shared" si="3"/>
        <v>24</v>
      </c>
    </row>
    <row r="61" spans="1:25" x14ac:dyDescent="0.2">
      <c r="A61" s="15">
        <v>45928.541666666664</v>
      </c>
      <c r="B61" t="s">
        <v>38</v>
      </c>
      <c r="C61">
        <v>42</v>
      </c>
      <c r="D61" t="s">
        <v>35</v>
      </c>
      <c r="E61">
        <v>13</v>
      </c>
      <c r="F61">
        <f t="shared" si="0"/>
        <v>29</v>
      </c>
      <c r="G61">
        <v>0</v>
      </c>
      <c r="H61" s="16"/>
      <c r="I61" s="16"/>
      <c r="J61" s="16"/>
      <c r="K61" s="16"/>
      <c r="L61" s="17"/>
      <c r="W61" s="16" t="e">
        <f t="shared" si="1"/>
        <v>#DIV/0!</v>
      </c>
      <c r="X61" s="16" t="e">
        <f t="shared" si="2"/>
        <v>#DIV/0!</v>
      </c>
      <c r="Y61" s="1">
        <f t="shared" si="3"/>
        <v>29</v>
      </c>
    </row>
    <row r="62" spans="1:25" x14ac:dyDescent="0.2">
      <c r="A62" s="15">
        <v>45928.541666666664</v>
      </c>
      <c r="B62" t="s">
        <v>49</v>
      </c>
      <c r="C62">
        <v>26</v>
      </c>
      <c r="D62" t="s">
        <v>43</v>
      </c>
      <c r="E62">
        <v>0</v>
      </c>
      <c r="F62">
        <f t="shared" si="0"/>
        <v>26</v>
      </c>
      <c r="G62">
        <v>0</v>
      </c>
      <c r="H62" s="16"/>
      <c r="I62" s="16"/>
      <c r="J62" s="16"/>
      <c r="K62" s="16"/>
      <c r="L62" s="17"/>
      <c r="W62" s="16" t="e">
        <f t="shared" si="1"/>
        <v>#DIV/0!</v>
      </c>
      <c r="X62" s="16" t="e">
        <f t="shared" si="2"/>
        <v>#DIV/0!</v>
      </c>
      <c r="Y62" s="1">
        <f t="shared" si="3"/>
        <v>26</v>
      </c>
    </row>
    <row r="63" spans="1:25" x14ac:dyDescent="0.2">
      <c r="A63" s="15">
        <v>45928.670138888891</v>
      </c>
      <c r="B63" t="s">
        <v>45</v>
      </c>
      <c r="C63">
        <v>21</v>
      </c>
      <c r="D63" t="s">
        <v>34</v>
      </c>
      <c r="E63">
        <v>26</v>
      </c>
      <c r="F63">
        <f t="shared" si="0"/>
        <v>-5</v>
      </c>
      <c r="G63">
        <v>0</v>
      </c>
      <c r="H63" s="16"/>
      <c r="I63" s="16"/>
      <c r="J63" s="16"/>
      <c r="K63" s="16"/>
      <c r="L63" s="17"/>
      <c r="W63" s="16" t="e">
        <f t="shared" si="1"/>
        <v>#DIV/0!</v>
      </c>
      <c r="X63" s="16" t="e">
        <f t="shared" si="2"/>
        <v>#DIV/0!</v>
      </c>
      <c r="Y63" s="1">
        <f t="shared" si="3"/>
        <v>-5</v>
      </c>
    </row>
    <row r="64" spans="1:25" x14ac:dyDescent="0.2">
      <c r="A64" s="15">
        <v>45928.670138888891</v>
      </c>
      <c r="B64" t="s">
        <v>48</v>
      </c>
      <c r="C64">
        <v>27</v>
      </c>
      <c r="D64" t="s">
        <v>28</v>
      </c>
      <c r="E64">
        <v>20</v>
      </c>
      <c r="F64">
        <f t="shared" si="0"/>
        <v>7</v>
      </c>
      <c r="G64">
        <v>0</v>
      </c>
      <c r="H64" s="16"/>
      <c r="I64" s="16"/>
      <c r="J64" s="16"/>
      <c r="K64" s="16"/>
      <c r="L64" s="17"/>
      <c r="W64" s="16" t="e">
        <f t="shared" si="1"/>
        <v>#DIV/0!</v>
      </c>
      <c r="X64" s="16" t="e">
        <f t="shared" si="2"/>
        <v>#DIV/0!</v>
      </c>
      <c r="Y64" s="1">
        <f t="shared" si="3"/>
        <v>7</v>
      </c>
    </row>
    <row r="65" spans="1:25" x14ac:dyDescent="0.2">
      <c r="A65" s="15">
        <v>45928.684027777781</v>
      </c>
      <c r="B65" t="s">
        <v>25</v>
      </c>
      <c r="C65">
        <v>37</v>
      </c>
      <c r="D65" t="s">
        <v>51</v>
      </c>
      <c r="E65">
        <v>20</v>
      </c>
      <c r="F65">
        <f t="shared" si="0"/>
        <v>17</v>
      </c>
      <c r="G65">
        <v>0</v>
      </c>
      <c r="H65" s="16"/>
      <c r="I65" s="16"/>
      <c r="J65" s="16"/>
      <c r="K65" s="16"/>
      <c r="L65" s="17"/>
      <c r="W65" s="16" t="e">
        <f t="shared" si="1"/>
        <v>#DIV/0!</v>
      </c>
      <c r="X65" s="16" t="e">
        <f t="shared" si="2"/>
        <v>#DIV/0!</v>
      </c>
      <c r="Y65" s="1">
        <f t="shared" si="3"/>
        <v>17</v>
      </c>
    </row>
    <row r="66" spans="1:25" x14ac:dyDescent="0.2">
      <c r="A66" s="15">
        <v>45928.684027777781</v>
      </c>
      <c r="B66" t="s">
        <v>39</v>
      </c>
      <c r="C66">
        <v>24</v>
      </c>
      <c r="D66" t="s">
        <v>52</v>
      </c>
      <c r="E66">
        <v>25</v>
      </c>
      <c r="F66">
        <f t="shared" si="0"/>
        <v>-1</v>
      </c>
      <c r="G66">
        <v>0</v>
      </c>
      <c r="H66" s="16"/>
      <c r="I66" s="16"/>
      <c r="J66" s="16"/>
      <c r="K66" s="16"/>
      <c r="L66" s="17"/>
      <c r="W66" s="16" t="e">
        <f t="shared" si="1"/>
        <v>#DIV/0!</v>
      </c>
      <c r="X66" s="16" t="e">
        <f t="shared" si="2"/>
        <v>#DIV/0!</v>
      </c>
      <c r="Y66" s="1">
        <f t="shared" si="3"/>
        <v>-1</v>
      </c>
    </row>
    <row r="67" spans="1:25" x14ac:dyDescent="0.2">
      <c r="A67" s="15">
        <v>45928.847222222219</v>
      </c>
      <c r="B67" t="s">
        <v>23</v>
      </c>
      <c r="C67">
        <v>40</v>
      </c>
      <c r="D67" t="s">
        <v>46</v>
      </c>
      <c r="E67">
        <v>40</v>
      </c>
      <c r="F67">
        <f t="shared" si="0"/>
        <v>0</v>
      </c>
      <c r="G67">
        <v>0</v>
      </c>
      <c r="H67" s="16"/>
      <c r="I67" s="16"/>
      <c r="J67" s="16"/>
      <c r="K67" s="16"/>
      <c r="L67" s="17"/>
      <c r="W67" s="16" t="e">
        <f t="shared" si="1"/>
        <v>#DIV/0!</v>
      </c>
      <c r="X67" s="16" t="e">
        <f t="shared" si="2"/>
        <v>#DIV/0!</v>
      </c>
      <c r="Y67" s="1">
        <f t="shared" si="3"/>
        <v>0</v>
      </c>
    </row>
    <row r="68" spans="1:25" x14ac:dyDescent="0.2">
      <c r="A68" s="15">
        <v>45929.802083333336</v>
      </c>
      <c r="B68" t="s">
        <v>29</v>
      </c>
      <c r="C68">
        <v>27</v>
      </c>
      <c r="D68" t="s">
        <v>36</v>
      </c>
      <c r="E68">
        <v>21</v>
      </c>
      <c r="F68">
        <f t="shared" si="0"/>
        <v>6</v>
      </c>
      <c r="G68">
        <v>0</v>
      </c>
      <c r="H68" s="16"/>
      <c r="I68" s="16"/>
      <c r="J68" s="16"/>
      <c r="K68" s="16"/>
      <c r="L68" s="17"/>
      <c r="W68" s="16" t="e">
        <f t="shared" si="1"/>
        <v>#DIV/0!</v>
      </c>
      <c r="X68" s="16" t="e">
        <f t="shared" si="2"/>
        <v>#DIV/0!</v>
      </c>
      <c r="Y68" s="1">
        <f t="shared" si="3"/>
        <v>6</v>
      </c>
    </row>
    <row r="69" spans="1:25" x14ac:dyDescent="0.2">
      <c r="A69" s="15">
        <v>45929.84375</v>
      </c>
      <c r="B69" t="s">
        <v>42</v>
      </c>
      <c r="C69">
        <v>28</v>
      </c>
      <c r="D69" t="s">
        <v>27</v>
      </c>
      <c r="E69">
        <v>3</v>
      </c>
      <c r="F69">
        <f t="shared" si="0"/>
        <v>25</v>
      </c>
      <c r="G69">
        <v>0</v>
      </c>
      <c r="H69" s="16"/>
      <c r="I69" s="16"/>
      <c r="J69" s="16"/>
      <c r="K69" s="16"/>
      <c r="L69" s="17"/>
      <c r="W69" s="16" t="e">
        <f t="shared" si="1"/>
        <v>#DIV/0!</v>
      </c>
      <c r="X69" s="16" t="e">
        <f t="shared" si="2"/>
        <v>#DIV/0!</v>
      </c>
      <c r="Y69" s="1">
        <f t="shared" si="3"/>
        <v>25</v>
      </c>
    </row>
    <row r="70" spans="1:25" x14ac:dyDescent="0.2">
      <c r="A70" s="15">
        <v>45932.84375</v>
      </c>
      <c r="B70" t="s">
        <v>48</v>
      </c>
      <c r="C70">
        <v>23</v>
      </c>
      <c r="D70" t="s">
        <v>45</v>
      </c>
      <c r="E70">
        <v>26</v>
      </c>
      <c r="F70">
        <f t="shared" ref="F70:F133" si="4">C70-E70</f>
        <v>-3</v>
      </c>
      <c r="G70">
        <v>0</v>
      </c>
      <c r="H70" s="16"/>
      <c r="I70" s="16"/>
      <c r="J70" s="16"/>
      <c r="K70" s="16"/>
      <c r="L70" s="17"/>
      <c r="W70" s="16" t="e">
        <f t="shared" si="1"/>
        <v>#DIV/0!</v>
      </c>
      <c r="X70" s="16" t="e">
        <f t="shared" si="2"/>
        <v>#DIV/0!</v>
      </c>
      <c r="Y70" s="1">
        <f t="shared" si="3"/>
        <v>-3</v>
      </c>
    </row>
    <row r="71" spans="1:25" x14ac:dyDescent="0.2">
      <c r="A71" s="15">
        <v>45935.395833333336</v>
      </c>
      <c r="B71" t="s">
        <v>26</v>
      </c>
      <c r="C71">
        <v>17</v>
      </c>
      <c r="D71" t="s">
        <v>53</v>
      </c>
      <c r="E71">
        <v>21</v>
      </c>
      <c r="F71">
        <f t="shared" si="4"/>
        <v>-4</v>
      </c>
      <c r="G71">
        <v>0</v>
      </c>
      <c r="H71" s="16"/>
      <c r="I71" s="16"/>
      <c r="J71" s="16"/>
      <c r="K71" s="16"/>
      <c r="L71" s="17"/>
      <c r="W71" s="16" t="e">
        <f t="shared" ref="W71:W134" si="5">(H71+J71)/SUM(H71:J71)</f>
        <v>#DIV/0!</v>
      </c>
      <c r="X71" s="16" t="e">
        <f t="shared" ref="X71:X134" si="6">(W71-0.5)</f>
        <v>#DIV/0!</v>
      </c>
      <c r="Y71" s="1">
        <f t="shared" ref="Y71:Y134" si="7">F71</f>
        <v>-4</v>
      </c>
    </row>
    <row r="72" spans="1:25" x14ac:dyDescent="0.2">
      <c r="A72" s="15">
        <v>45935.541666666664</v>
      </c>
      <c r="B72" t="s">
        <v>28</v>
      </c>
      <c r="C72">
        <v>40</v>
      </c>
      <c r="D72" t="s">
        <v>39</v>
      </c>
      <c r="E72">
        <v>6</v>
      </c>
      <c r="F72">
        <f t="shared" si="4"/>
        <v>34</v>
      </c>
      <c r="G72">
        <v>0</v>
      </c>
      <c r="H72" s="16"/>
      <c r="I72" s="16"/>
      <c r="J72" s="16"/>
      <c r="K72" s="16"/>
      <c r="L72" s="17"/>
      <c r="W72" s="16" t="e">
        <f t="shared" si="5"/>
        <v>#DIV/0!</v>
      </c>
      <c r="X72" s="16" t="e">
        <f t="shared" si="6"/>
        <v>#DIV/0!</v>
      </c>
      <c r="Y72" s="1">
        <f t="shared" si="7"/>
        <v>34</v>
      </c>
    </row>
    <row r="73" spans="1:25" x14ac:dyDescent="0.2">
      <c r="A73" s="15">
        <v>45935.541666666664</v>
      </c>
      <c r="B73" t="s">
        <v>22</v>
      </c>
      <c r="C73">
        <v>17</v>
      </c>
      <c r="D73" t="s">
        <v>42</v>
      </c>
      <c r="E73">
        <v>21</v>
      </c>
      <c r="F73">
        <f t="shared" si="4"/>
        <v>-4</v>
      </c>
      <c r="G73">
        <v>0</v>
      </c>
      <c r="H73" s="16"/>
      <c r="I73" s="16"/>
      <c r="J73" s="16"/>
      <c r="K73" s="16"/>
      <c r="L73" s="17"/>
      <c r="W73" s="16" t="e">
        <f t="shared" si="5"/>
        <v>#DIV/0!</v>
      </c>
      <c r="X73" s="16" t="e">
        <f t="shared" si="6"/>
        <v>#DIV/0!</v>
      </c>
      <c r="Y73" s="1">
        <f t="shared" si="7"/>
        <v>-4</v>
      </c>
    </row>
    <row r="74" spans="1:25" x14ac:dyDescent="0.2">
      <c r="A74" s="15">
        <v>45935.541666666664</v>
      </c>
      <c r="B74" t="s">
        <v>36</v>
      </c>
      <c r="C74">
        <v>22</v>
      </c>
      <c r="D74" t="s">
        <v>23</v>
      </c>
      <c r="E74">
        <v>37</v>
      </c>
      <c r="F74">
        <f t="shared" si="4"/>
        <v>-15</v>
      </c>
      <c r="G74">
        <v>0</v>
      </c>
      <c r="H74" s="16"/>
      <c r="I74" s="16"/>
      <c r="J74" s="16"/>
      <c r="K74" s="16"/>
      <c r="L74" s="17"/>
      <c r="W74" s="16" t="e">
        <f t="shared" si="5"/>
        <v>#DIV/0!</v>
      </c>
      <c r="X74" s="16" t="e">
        <f t="shared" si="6"/>
        <v>#DIV/0!</v>
      </c>
      <c r="Y74" s="1">
        <f t="shared" si="7"/>
        <v>-15</v>
      </c>
    </row>
    <row r="75" spans="1:25" x14ac:dyDescent="0.2">
      <c r="A75" s="15">
        <v>45935.541666666664</v>
      </c>
      <c r="B75" t="s">
        <v>35</v>
      </c>
      <c r="C75">
        <v>27</v>
      </c>
      <c r="D75" t="s">
        <v>29</v>
      </c>
      <c r="E75">
        <v>24</v>
      </c>
      <c r="F75">
        <f t="shared" si="4"/>
        <v>3</v>
      </c>
      <c r="G75">
        <v>0</v>
      </c>
      <c r="H75" s="16"/>
      <c r="I75" s="16"/>
      <c r="J75" s="16"/>
      <c r="K75" s="16"/>
      <c r="L75" s="17"/>
      <c r="W75" s="16" t="e">
        <f t="shared" si="5"/>
        <v>#DIV/0!</v>
      </c>
      <c r="X75" s="16" t="e">
        <f t="shared" si="6"/>
        <v>#DIV/0!</v>
      </c>
      <c r="Y75" s="1">
        <f t="shared" si="7"/>
        <v>3</v>
      </c>
    </row>
    <row r="76" spans="1:25" x14ac:dyDescent="0.2">
      <c r="A76" s="15">
        <v>45935.541666666664</v>
      </c>
      <c r="B76" t="s">
        <v>51</v>
      </c>
      <c r="C76">
        <v>10</v>
      </c>
      <c r="D76" t="s">
        <v>49</v>
      </c>
      <c r="E76">
        <v>44</v>
      </c>
      <c r="F76">
        <f t="shared" si="4"/>
        <v>-34</v>
      </c>
      <c r="G76">
        <v>0</v>
      </c>
      <c r="H76" s="16"/>
      <c r="I76" s="16"/>
      <c r="J76" s="16"/>
      <c r="K76" s="16"/>
      <c r="L76" s="17"/>
      <c r="W76" s="16" t="e">
        <f t="shared" si="5"/>
        <v>#DIV/0!</v>
      </c>
      <c r="X76" s="16" t="e">
        <f t="shared" si="6"/>
        <v>#DIV/0!</v>
      </c>
      <c r="Y76" s="1">
        <f t="shared" si="7"/>
        <v>-34</v>
      </c>
    </row>
    <row r="77" spans="1:25" x14ac:dyDescent="0.2">
      <c r="A77" s="15">
        <v>45935.541666666664</v>
      </c>
      <c r="B77" t="s">
        <v>40</v>
      </c>
      <c r="C77">
        <v>26</v>
      </c>
      <c r="D77" t="s">
        <v>31</v>
      </c>
      <c r="E77">
        <v>14</v>
      </c>
      <c r="F77">
        <f t="shared" si="4"/>
        <v>12</v>
      </c>
      <c r="G77">
        <v>0</v>
      </c>
      <c r="H77" s="16"/>
      <c r="I77" s="16"/>
      <c r="J77" s="16"/>
      <c r="K77" s="16"/>
      <c r="L77" s="17"/>
      <c r="W77" s="16" t="e">
        <f t="shared" si="5"/>
        <v>#DIV/0!</v>
      </c>
      <c r="X77" s="16" t="e">
        <f t="shared" si="6"/>
        <v>#DIV/0!</v>
      </c>
      <c r="Y77" s="1">
        <f t="shared" si="7"/>
        <v>12</v>
      </c>
    </row>
    <row r="78" spans="1:25" x14ac:dyDescent="0.2">
      <c r="A78" s="15">
        <v>45935.670138888891</v>
      </c>
      <c r="B78" t="s">
        <v>41</v>
      </c>
      <c r="C78">
        <v>21</v>
      </c>
      <c r="D78" t="s">
        <v>43</v>
      </c>
      <c r="E78">
        <v>22</v>
      </c>
      <c r="F78">
        <f t="shared" si="4"/>
        <v>-1</v>
      </c>
      <c r="G78">
        <v>0</v>
      </c>
      <c r="H78" s="16"/>
      <c r="I78" s="16"/>
      <c r="J78" s="16"/>
      <c r="K78" s="16"/>
      <c r="L78" s="17"/>
      <c r="W78" s="16" t="e">
        <f t="shared" si="5"/>
        <v>#DIV/0!</v>
      </c>
      <c r="X78" s="16" t="e">
        <f t="shared" si="6"/>
        <v>#DIV/0!</v>
      </c>
      <c r="Y78" s="1">
        <f t="shared" si="7"/>
        <v>-1</v>
      </c>
    </row>
    <row r="79" spans="1:25" x14ac:dyDescent="0.2">
      <c r="A79" s="15">
        <v>45935.670138888891</v>
      </c>
      <c r="B79" t="s">
        <v>44</v>
      </c>
      <c r="C79">
        <v>35</v>
      </c>
      <c r="D79" t="s">
        <v>33</v>
      </c>
      <c r="E79">
        <v>38</v>
      </c>
      <c r="F79">
        <f t="shared" si="4"/>
        <v>-3</v>
      </c>
      <c r="G79">
        <v>0</v>
      </c>
      <c r="H79" s="16"/>
      <c r="I79" s="16"/>
      <c r="J79" s="16"/>
      <c r="K79" s="16"/>
      <c r="L79" s="17"/>
      <c r="W79" s="16" t="e">
        <f t="shared" si="5"/>
        <v>#DIV/0!</v>
      </c>
      <c r="X79" s="16" t="e">
        <f t="shared" si="6"/>
        <v>#DIV/0!</v>
      </c>
      <c r="Y79" s="1">
        <f t="shared" si="7"/>
        <v>-3</v>
      </c>
    </row>
    <row r="80" spans="1:25" x14ac:dyDescent="0.2">
      <c r="A80" s="15">
        <v>45935.684027777781</v>
      </c>
      <c r="B80" t="s">
        <v>27</v>
      </c>
      <c r="C80">
        <v>24</v>
      </c>
      <c r="D80" t="s">
        <v>47</v>
      </c>
      <c r="E80">
        <v>37</v>
      </c>
      <c r="F80">
        <f t="shared" si="4"/>
        <v>-13</v>
      </c>
      <c r="G80">
        <v>0</v>
      </c>
      <c r="H80" s="16"/>
      <c r="I80" s="16"/>
      <c r="J80" s="16"/>
      <c r="K80" s="16"/>
      <c r="L80" s="17"/>
      <c r="W80" s="16" t="e">
        <f t="shared" si="5"/>
        <v>#DIV/0!</v>
      </c>
      <c r="X80" s="16" t="e">
        <f t="shared" si="6"/>
        <v>#DIV/0!</v>
      </c>
      <c r="Y80" s="1">
        <f t="shared" si="7"/>
        <v>-13</v>
      </c>
    </row>
    <row r="81" spans="1:25" x14ac:dyDescent="0.2">
      <c r="A81" s="15">
        <v>45935.684027777781</v>
      </c>
      <c r="B81" t="s">
        <v>24</v>
      </c>
      <c r="C81">
        <v>10</v>
      </c>
      <c r="D81" t="s">
        <v>30</v>
      </c>
      <c r="E81">
        <v>27</v>
      </c>
      <c r="F81">
        <f t="shared" si="4"/>
        <v>-17</v>
      </c>
      <c r="G81">
        <v>0</v>
      </c>
      <c r="H81" s="16"/>
      <c r="I81" s="16"/>
      <c r="J81" s="16"/>
      <c r="K81" s="16"/>
      <c r="L81" s="17"/>
      <c r="W81" s="16" t="e">
        <f t="shared" si="5"/>
        <v>#DIV/0!</v>
      </c>
      <c r="X81" s="16" t="e">
        <f t="shared" si="6"/>
        <v>#DIV/0!</v>
      </c>
      <c r="Y81" s="1">
        <f t="shared" si="7"/>
        <v>-17</v>
      </c>
    </row>
    <row r="82" spans="1:25" x14ac:dyDescent="0.2">
      <c r="A82" s="15">
        <v>45935.847222222219</v>
      </c>
      <c r="B82" t="s">
        <v>50</v>
      </c>
      <c r="C82">
        <v>20</v>
      </c>
      <c r="D82" t="s">
        <v>38</v>
      </c>
      <c r="E82">
        <v>23</v>
      </c>
      <c r="F82">
        <f t="shared" si="4"/>
        <v>-3</v>
      </c>
      <c r="G82">
        <v>0</v>
      </c>
      <c r="H82" s="16"/>
      <c r="I82" s="16"/>
      <c r="J82" s="16"/>
      <c r="K82" s="16"/>
      <c r="L82" s="17"/>
      <c r="W82" s="16" t="e">
        <f t="shared" si="5"/>
        <v>#DIV/0!</v>
      </c>
      <c r="X82" s="16" t="e">
        <f t="shared" si="6"/>
        <v>#DIV/0!</v>
      </c>
      <c r="Y82" s="1">
        <f t="shared" si="7"/>
        <v>-3</v>
      </c>
    </row>
    <row r="83" spans="1:25" x14ac:dyDescent="0.2">
      <c r="A83" s="15">
        <v>45936.84375</v>
      </c>
      <c r="B83" t="s">
        <v>34</v>
      </c>
      <c r="C83">
        <v>31</v>
      </c>
      <c r="D83" t="s">
        <v>25</v>
      </c>
      <c r="E83">
        <v>28</v>
      </c>
      <c r="F83">
        <f t="shared" si="4"/>
        <v>3</v>
      </c>
      <c r="G83">
        <v>0</v>
      </c>
      <c r="H83" s="16"/>
      <c r="I83" s="16"/>
      <c r="J83" s="16"/>
      <c r="K83" s="16"/>
      <c r="L83" s="17"/>
      <c r="W83" s="16" t="e">
        <f t="shared" si="5"/>
        <v>#DIV/0!</v>
      </c>
      <c r="X83" s="16" t="e">
        <f t="shared" si="6"/>
        <v>#DIV/0!</v>
      </c>
      <c r="Y83" s="1">
        <f t="shared" si="7"/>
        <v>3</v>
      </c>
    </row>
    <row r="84" spans="1:25" x14ac:dyDescent="0.2">
      <c r="A84" s="15">
        <v>45939.84375</v>
      </c>
      <c r="B84" t="s">
        <v>31</v>
      </c>
      <c r="C84">
        <v>34</v>
      </c>
      <c r="D84" t="s">
        <v>22</v>
      </c>
      <c r="E84">
        <v>17</v>
      </c>
      <c r="F84">
        <f t="shared" si="4"/>
        <v>17</v>
      </c>
      <c r="G84">
        <v>0</v>
      </c>
      <c r="H84" s="16"/>
      <c r="I84" s="16"/>
      <c r="J84" s="16"/>
      <c r="K84" s="16"/>
      <c r="L84" s="17"/>
      <c r="W84" s="16" t="e">
        <f t="shared" si="5"/>
        <v>#DIV/0!</v>
      </c>
      <c r="X84" s="16" t="e">
        <f t="shared" si="6"/>
        <v>#DIV/0!</v>
      </c>
      <c r="Y84" s="1">
        <f t="shared" si="7"/>
        <v>17</v>
      </c>
    </row>
    <row r="85" spans="1:25" x14ac:dyDescent="0.2">
      <c r="A85" s="15">
        <v>45942.395833333336</v>
      </c>
      <c r="B85" t="s">
        <v>36</v>
      </c>
      <c r="C85">
        <v>11</v>
      </c>
      <c r="D85" t="s">
        <v>42</v>
      </c>
      <c r="E85">
        <v>13</v>
      </c>
      <c r="F85">
        <f t="shared" si="4"/>
        <v>-2</v>
      </c>
      <c r="G85">
        <v>0</v>
      </c>
      <c r="H85" s="16"/>
      <c r="I85" s="16"/>
      <c r="J85" s="16"/>
      <c r="K85" s="16"/>
      <c r="L85" s="17"/>
      <c r="W85" s="16" t="e">
        <f t="shared" si="5"/>
        <v>#DIV/0!</v>
      </c>
      <c r="X85" s="16" t="e">
        <f t="shared" si="6"/>
        <v>#DIV/0!</v>
      </c>
      <c r="Y85" s="1">
        <f t="shared" si="7"/>
        <v>-2</v>
      </c>
    </row>
    <row r="86" spans="1:25" x14ac:dyDescent="0.2">
      <c r="A86" s="15">
        <v>45942.541666666664</v>
      </c>
      <c r="B86" t="s">
        <v>28</v>
      </c>
      <c r="C86">
        <v>31</v>
      </c>
      <c r="D86" t="s">
        <v>41</v>
      </c>
      <c r="E86">
        <v>27</v>
      </c>
      <c r="F86">
        <f t="shared" si="4"/>
        <v>4</v>
      </c>
      <c r="G86">
        <v>0</v>
      </c>
      <c r="H86" s="16"/>
      <c r="I86" s="16"/>
      <c r="J86" s="16"/>
      <c r="K86" s="16"/>
      <c r="L86" s="17"/>
      <c r="W86" s="16" t="e">
        <f t="shared" si="5"/>
        <v>#DIV/0!</v>
      </c>
      <c r="X86" s="16" t="e">
        <f t="shared" si="6"/>
        <v>#DIV/0!</v>
      </c>
      <c r="Y86" s="1">
        <f t="shared" si="7"/>
        <v>4</v>
      </c>
    </row>
    <row r="87" spans="1:25" x14ac:dyDescent="0.2">
      <c r="A87" s="15">
        <v>45942.541666666664</v>
      </c>
      <c r="B87" t="s">
        <v>29</v>
      </c>
      <c r="C87">
        <v>27</v>
      </c>
      <c r="D87" t="s">
        <v>24</v>
      </c>
      <c r="E87">
        <v>29</v>
      </c>
      <c r="F87">
        <f t="shared" si="4"/>
        <v>-2</v>
      </c>
      <c r="G87">
        <v>0</v>
      </c>
      <c r="H87" s="16"/>
      <c r="I87" s="16"/>
      <c r="J87" s="16"/>
      <c r="K87" s="16"/>
      <c r="L87" s="17"/>
      <c r="W87" s="16" t="e">
        <f t="shared" si="5"/>
        <v>#DIV/0!</v>
      </c>
      <c r="X87" s="16" t="e">
        <f t="shared" si="6"/>
        <v>#DIV/0!</v>
      </c>
      <c r="Y87" s="1">
        <f t="shared" si="7"/>
        <v>-2</v>
      </c>
    </row>
    <row r="88" spans="1:25" x14ac:dyDescent="0.2">
      <c r="A88" s="15">
        <v>45942.541666666664</v>
      </c>
      <c r="B88" t="s">
        <v>34</v>
      </c>
      <c r="C88">
        <v>12</v>
      </c>
      <c r="D88" t="s">
        <v>44</v>
      </c>
      <c r="E88">
        <v>20</v>
      </c>
      <c r="F88">
        <f t="shared" si="4"/>
        <v>-8</v>
      </c>
      <c r="G88">
        <v>0</v>
      </c>
      <c r="H88" s="16"/>
      <c r="I88" s="16"/>
      <c r="J88" s="16"/>
      <c r="K88" s="16"/>
      <c r="L88" s="17"/>
      <c r="W88" s="16" t="e">
        <f t="shared" si="5"/>
        <v>#DIV/0!</v>
      </c>
      <c r="X88" s="16" t="e">
        <f t="shared" si="6"/>
        <v>#DIV/0!</v>
      </c>
      <c r="Y88" s="1">
        <f t="shared" si="7"/>
        <v>-8</v>
      </c>
    </row>
    <row r="89" spans="1:25" x14ac:dyDescent="0.2">
      <c r="A89" s="15">
        <v>45942.541666666664</v>
      </c>
      <c r="B89" t="s">
        <v>35</v>
      </c>
      <c r="C89">
        <v>30</v>
      </c>
      <c r="D89" t="s">
        <v>23</v>
      </c>
      <c r="E89">
        <v>27</v>
      </c>
      <c r="F89">
        <f t="shared" si="4"/>
        <v>3</v>
      </c>
      <c r="G89">
        <v>0</v>
      </c>
      <c r="H89" s="16"/>
      <c r="I89" s="16"/>
      <c r="J89" s="16"/>
      <c r="K89" s="16"/>
      <c r="L89" s="17"/>
      <c r="W89" s="16" t="e">
        <f t="shared" si="5"/>
        <v>#DIV/0!</v>
      </c>
      <c r="X89" s="16" t="e">
        <f t="shared" si="6"/>
        <v>#DIV/0!</v>
      </c>
      <c r="Y89" s="1">
        <f t="shared" si="7"/>
        <v>3</v>
      </c>
    </row>
    <row r="90" spans="1:25" x14ac:dyDescent="0.2">
      <c r="A90" s="15">
        <v>45942.541666666664</v>
      </c>
      <c r="B90" t="s">
        <v>51</v>
      </c>
      <c r="C90">
        <v>3</v>
      </c>
      <c r="D90" t="s">
        <v>48</v>
      </c>
      <c r="E90">
        <v>17</v>
      </c>
      <c r="F90">
        <f t="shared" si="4"/>
        <v>-14</v>
      </c>
      <c r="G90">
        <v>0</v>
      </c>
      <c r="H90" s="16"/>
      <c r="I90" s="16"/>
      <c r="J90" s="16"/>
      <c r="K90" s="16"/>
      <c r="L90" s="17"/>
      <c r="W90" s="16" t="e">
        <f t="shared" si="5"/>
        <v>#DIV/0!</v>
      </c>
      <c r="X90" s="16" t="e">
        <f t="shared" si="6"/>
        <v>#DIV/0!</v>
      </c>
      <c r="Y90" s="1">
        <f t="shared" si="7"/>
        <v>-14</v>
      </c>
    </row>
    <row r="91" spans="1:25" x14ac:dyDescent="0.2">
      <c r="A91" s="15">
        <v>45942.541666666664</v>
      </c>
      <c r="B91" t="s">
        <v>40</v>
      </c>
      <c r="C91">
        <v>19</v>
      </c>
      <c r="D91" t="s">
        <v>38</v>
      </c>
      <c r="E91">
        <v>25</v>
      </c>
      <c r="F91">
        <f t="shared" si="4"/>
        <v>-6</v>
      </c>
      <c r="G91">
        <v>0</v>
      </c>
      <c r="H91" s="16"/>
      <c r="I91" s="16"/>
      <c r="J91" s="16"/>
      <c r="K91" s="16"/>
      <c r="L91" s="17"/>
      <c r="W91" s="16" t="e">
        <f t="shared" si="5"/>
        <v>#DIV/0!</v>
      </c>
      <c r="X91" s="16" t="e">
        <f t="shared" si="6"/>
        <v>#DIV/0!</v>
      </c>
      <c r="Y91" s="1">
        <f t="shared" si="7"/>
        <v>-6</v>
      </c>
    </row>
    <row r="92" spans="1:25" x14ac:dyDescent="0.2">
      <c r="A92" s="15">
        <v>45942.541666666664</v>
      </c>
      <c r="B92" t="s">
        <v>37</v>
      </c>
      <c r="C92">
        <v>23</v>
      </c>
      <c r="D92" t="s">
        <v>26</v>
      </c>
      <c r="E92">
        <v>9</v>
      </c>
      <c r="F92">
        <f t="shared" si="4"/>
        <v>14</v>
      </c>
      <c r="G92">
        <v>0</v>
      </c>
      <c r="H92" s="16"/>
      <c r="I92" s="16"/>
      <c r="J92" s="16"/>
      <c r="K92" s="16"/>
      <c r="L92" s="17"/>
      <c r="W92" s="16" t="e">
        <f t="shared" si="5"/>
        <v>#DIV/0!</v>
      </c>
      <c r="X92" s="16" t="e">
        <f t="shared" si="6"/>
        <v>#DIV/0!</v>
      </c>
      <c r="Y92" s="1">
        <f t="shared" si="7"/>
        <v>14</v>
      </c>
    </row>
    <row r="93" spans="1:25" x14ac:dyDescent="0.2">
      <c r="A93" s="15">
        <v>45942.670138888891</v>
      </c>
      <c r="B93" t="s">
        <v>39</v>
      </c>
      <c r="C93">
        <v>20</v>
      </c>
      <c r="D93" t="s">
        <v>43</v>
      </c>
      <c r="E93">
        <v>10</v>
      </c>
      <c r="F93">
        <f t="shared" si="4"/>
        <v>10</v>
      </c>
      <c r="G93">
        <v>0</v>
      </c>
      <c r="H93" s="16"/>
      <c r="I93" s="16"/>
      <c r="J93" s="16"/>
      <c r="K93" s="16"/>
      <c r="L93" s="17"/>
      <c r="W93" s="16" t="e">
        <f t="shared" si="5"/>
        <v>#DIV/0!</v>
      </c>
      <c r="X93" s="16" t="e">
        <f t="shared" si="6"/>
        <v>#DIV/0!</v>
      </c>
      <c r="Y93" s="1">
        <f t="shared" si="7"/>
        <v>10</v>
      </c>
    </row>
    <row r="94" spans="1:25" x14ac:dyDescent="0.2">
      <c r="A94" s="15">
        <v>45942.684027777781</v>
      </c>
      <c r="B94" t="s">
        <v>33</v>
      </c>
      <c r="C94">
        <v>30</v>
      </c>
      <c r="D94" t="s">
        <v>45</v>
      </c>
      <c r="E94">
        <v>19</v>
      </c>
      <c r="F94">
        <f t="shared" si="4"/>
        <v>11</v>
      </c>
      <c r="G94">
        <v>0</v>
      </c>
      <c r="H94" s="16"/>
      <c r="I94" s="16"/>
      <c r="J94" s="16"/>
      <c r="K94" s="16"/>
      <c r="L94" s="17"/>
      <c r="W94" s="16" t="e">
        <f t="shared" si="5"/>
        <v>#DIV/0!</v>
      </c>
      <c r="X94" s="16" t="e">
        <f t="shared" si="6"/>
        <v>#DIV/0!</v>
      </c>
      <c r="Y94" s="1">
        <f t="shared" si="7"/>
        <v>11</v>
      </c>
    </row>
    <row r="95" spans="1:25" x14ac:dyDescent="0.2">
      <c r="A95" s="15">
        <v>45942.684027777781</v>
      </c>
      <c r="B95" t="s">
        <v>46</v>
      </c>
      <c r="C95">
        <v>27</v>
      </c>
      <c r="D95" t="s">
        <v>27</v>
      </c>
      <c r="E95">
        <v>18</v>
      </c>
      <c r="F95">
        <f t="shared" si="4"/>
        <v>9</v>
      </c>
      <c r="G95">
        <v>0</v>
      </c>
      <c r="H95" s="16"/>
      <c r="I95" s="16"/>
      <c r="J95" s="16"/>
      <c r="K95" s="16"/>
      <c r="L95" s="17"/>
      <c r="W95" s="16" t="e">
        <f t="shared" si="5"/>
        <v>#DIV/0!</v>
      </c>
      <c r="X95" s="16" t="e">
        <f t="shared" si="6"/>
        <v>#DIV/0!</v>
      </c>
      <c r="Y95" s="1">
        <f t="shared" si="7"/>
        <v>9</v>
      </c>
    </row>
    <row r="96" spans="1:25" x14ac:dyDescent="0.2">
      <c r="A96" s="15">
        <v>45942.847222222219</v>
      </c>
      <c r="B96" t="s">
        <v>25</v>
      </c>
      <c r="C96">
        <v>30</v>
      </c>
      <c r="D96" t="s">
        <v>47</v>
      </c>
      <c r="E96">
        <v>17</v>
      </c>
      <c r="F96">
        <f t="shared" si="4"/>
        <v>13</v>
      </c>
      <c r="G96">
        <v>0</v>
      </c>
      <c r="H96" s="16"/>
      <c r="I96" s="16"/>
      <c r="J96" s="16"/>
      <c r="K96" s="16"/>
      <c r="L96" s="17"/>
      <c r="W96" s="16" t="e">
        <f t="shared" si="5"/>
        <v>#DIV/0!</v>
      </c>
      <c r="X96" s="16" t="e">
        <f t="shared" si="6"/>
        <v>#DIV/0!</v>
      </c>
      <c r="Y96" s="1">
        <f t="shared" si="7"/>
        <v>13</v>
      </c>
    </row>
    <row r="97" spans="1:25" x14ac:dyDescent="0.2">
      <c r="A97" s="15">
        <v>45943.802083333336</v>
      </c>
      <c r="B97" t="s">
        <v>32</v>
      </c>
      <c r="C97">
        <v>24</v>
      </c>
      <c r="D97" t="s">
        <v>50</v>
      </c>
      <c r="E97">
        <v>14</v>
      </c>
      <c r="F97">
        <f t="shared" si="4"/>
        <v>10</v>
      </c>
      <c r="G97">
        <v>0</v>
      </c>
      <c r="H97" s="16"/>
      <c r="I97" s="16"/>
      <c r="J97" s="16"/>
      <c r="K97" s="16"/>
      <c r="L97" s="17"/>
      <c r="W97" s="16" t="e">
        <f t="shared" si="5"/>
        <v>#DIV/0!</v>
      </c>
      <c r="X97" s="16" t="e">
        <f t="shared" si="6"/>
        <v>#DIV/0!</v>
      </c>
      <c r="Y97" s="1">
        <f t="shared" si="7"/>
        <v>10</v>
      </c>
    </row>
    <row r="98" spans="1:25" x14ac:dyDescent="0.2">
      <c r="A98" s="15">
        <v>45943.84375</v>
      </c>
      <c r="B98" t="s">
        <v>30</v>
      </c>
      <c r="C98">
        <v>24</v>
      </c>
      <c r="D98" t="s">
        <v>52</v>
      </c>
      <c r="E98">
        <v>25</v>
      </c>
      <c r="F98">
        <f t="shared" si="4"/>
        <v>-1</v>
      </c>
      <c r="G98">
        <v>0</v>
      </c>
      <c r="H98" s="16"/>
      <c r="I98" s="16"/>
      <c r="J98" s="16"/>
      <c r="K98" s="16"/>
      <c r="L98" s="17"/>
      <c r="W98" s="16" t="e">
        <f t="shared" si="5"/>
        <v>#DIV/0!</v>
      </c>
      <c r="X98" s="16" t="e">
        <f t="shared" si="6"/>
        <v>#DIV/0!</v>
      </c>
      <c r="Y98" s="1">
        <f t="shared" si="7"/>
        <v>-1</v>
      </c>
    </row>
    <row r="99" spans="1:25" x14ac:dyDescent="0.2">
      <c r="A99" s="15">
        <v>45946.84375</v>
      </c>
      <c r="B99" t="s">
        <v>27</v>
      </c>
      <c r="C99">
        <v>33</v>
      </c>
      <c r="D99" t="s">
        <v>37</v>
      </c>
      <c r="E99">
        <v>31</v>
      </c>
      <c r="F99">
        <f t="shared" si="4"/>
        <v>2</v>
      </c>
      <c r="G99">
        <v>0</v>
      </c>
      <c r="H99" s="16"/>
      <c r="I99" s="16"/>
      <c r="J99" s="16"/>
      <c r="K99" s="16"/>
      <c r="L99" s="17"/>
      <c r="W99" s="16" t="e">
        <f t="shared" si="5"/>
        <v>#DIV/0!</v>
      </c>
      <c r="X99" s="16" t="e">
        <f t="shared" si="6"/>
        <v>#DIV/0!</v>
      </c>
      <c r="Y99" s="1">
        <f t="shared" si="7"/>
        <v>2</v>
      </c>
    </row>
    <row r="100" spans="1:25" x14ac:dyDescent="0.2">
      <c r="A100" s="15">
        <v>45949.395833333336</v>
      </c>
      <c r="B100" t="s">
        <v>34</v>
      </c>
      <c r="C100">
        <v>7</v>
      </c>
      <c r="D100" t="s">
        <v>48</v>
      </c>
      <c r="E100">
        <v>35</v>
      </c>
      <c r="F100">
        <f t="shared" si="4"/>
        <v>-28</v>
      </c>
      <c r="G100">
        <v>0</v>
      </c>
      <c r="H100" s="16"/>
      <c r="I100" s="16"/>
      <c r="J100" s="16"/>
      <c r="K100" s="16"/>
      <c r="L100" s="17"/>
      <c r="W100" s="16" t="e">
        <f t="shared" si="5"/>
        <v>#DIV/0!</v>
      </c>
      <c r="X100" s="16" t="e">
        <f t="shared" si="6"/>
        <v>#DIV/0!</v>
      </c>
      <c r="Y100" s="1">
        <f t="shared" si="7"/>
        <v>-28</v>
      </c>
    </row>
    <row r="101" spans="1:25" x14ac:dyDescent="0.2">
      <c r="A101" s="15">
        <v>45949.541666666664</v>
      </c>
      <c r="B101" t="s">
        <v>52</v>
      </c>
      <c r="C101">
        <v>26</v>
      </c>
      <c r="D101" t="s">
        <v>40</v>
      </c>
      <c r="E101">
        <v>14</v>
      </c>
      <c r="F101">
        <f t="shared" si="4"/>
        <v>12</v>
      </c>
      <c r="G101">
        <v>0</v>
      </c>
      <c r="H101" s="16"/>
      <c r="I101" s="16"/>
      <c r="J101" s="16"/>
      <c r="K101" s="16"/>
      <c r="L101" s="17"/>
      <c r="W101" s="16" t="e">
        <f t="shared" si="5"/>
        <v>#DIV/0!</v>
      </c>
      <c r="X101" s="16" t="e">
        <f t="shared" si="6"/>
        <v>#DIV/0!</v>
      </c>
      <c r="Y101" s="1">
        <f t="shared" si="7"/>
        <v>12</v>
      </c>
    </row>
    <row r="102" spans="1:25" x14ac:dyDescent="0.2">
      <c r="A102" s="15">
        <v>45949.541666666664</v>
      </c>
      <c r="B102" t="s">
        <v>26</v>
      </c>
      <c r="C102">
        <v>31</v>
      </c>
      <c r="D102" t="s">
        <v>29</v>
      </c>
      <c r="E102">
        <v>6</v>
      </c>
      <c r="F102">
        <f t="shared" si="4"/>
        <v>25</v>
      </c>
      <c r="G102">
        <v>0</v>
      </c>
      <c r="H102" s="16"/>
      <c r="I102" s="16"/>
      <c r="J102" s="16"/>
      <c r="K102" s="16"/>
      <c r="L102" s="17"/>
      <c r="W102" s="16" t="e">
        <f t="shared" si="5"/>
        <v>#DIV/0!</v>
      </c>
      <c r="X102" s="16" t="e">
        <f t="shared" si="6"/>
        <v>#DIV/0!</v>
      </c>
      <c r="Y102" s="1">
        <f t="shared" si="7"/>
        <v>25</v>
      </c>
    </row>
    <row r="103" spans="1:25" x14ac:dyDescent="0.2">
      <c r="A103" s="15">
        <v>45949.541666666664</v>
      </c>
      <c r="B103" t="s">
        <v>25</v>
      </c>
      <c r="C103">
        <v>31</v>
      </c>
      <c r="D103" t="s">
        <v>39</v>
      </c>
      <c r="E103">
        <v>0</v>
      </c>
      <c r="F103">
        <f t="shared" si="4"/>
        <v>31</v>
      </c>
      <c r="G103">
        <v>0</v>
      </c>
      <c r="H103" s="16"/>
      <c r="I103" s="16"/>
      <c r="J103" s="16"/>
      <c r="K103" s="16"/>
      <c r="L103" s="17"/>
      <c r="W103" s="16" t="e">
        <f t="shared" si="5"/>
        <v>#DIV/0!</v>
      </c>
      <c r="X103" s="16" t="e">
        <f t="shared" si="6"/>
        <v>#DIV/0!</v>
      </c>
      <c r="Y103" s="1">
        <f t="shared" si="7"/>
        <v>31</v>
      </c>
    </row>
    <row r="104" spans="1:25" x14ac:dyDescent="0.2">
      <c r="A104" s="15">
        <v>45949.541666666664</v>
      </c>
      <c r="B104" t="s">
        <v>36</v>
      </c>
      <c r="C104">
        <v>6</v>
      </c>
      <c r="D104" t="s">
        <v>35</v>
      </c>
      <c r="E104">
        <v>13</v>
      </c>
      <c r="F104">
        <f t="shared" si="4"/>
        <v>-7</v>
      </c>
      <c r="G104">
        <v>0</v>
      </c>
      <c r="H104" s="16"/>
      <c r="I104" s="16"/>
      <c r="J104" s="16"/>
      <c r="K104" s="16"/>
      <c r="L104" s="17"/>
      <c r="W104" s="16" t="e">
        <f t="shared" si="5"/>
        <v>#DIV/0!</v>
      </c>
      <c r="X104" s="16" t="e">
        <f t="shared" si="6"/>
        <v>#DIV/0!</v>
      </c>
      <c r="Y104" s="1">
        <f t="shared" si="7"/>
        <v>-7</v>
      </c>
    </row>
    <row r="105" spans="1:25" x14ac:dyDescent="0.2">
      <c r="A105" s="15">
        <v>45949.541666666664</v>
      </c>
      <c r="B105" t="s">
        <v>43</v>
      </c>
      <c r="C105">
        <v>13</v>
      </c>
      <c r="D105" t="s">
        <v>38</v>
      </c>
      <c r="E105">
        <v>31</v>
      </c>
      <c r="F105">
        <f t="shared" si="4"/>
        <v>-18</v>
      </c>
      <c r="G105">
        <v>0</v>
      </c>
      <c r="H105" s="16"/>
      <c r="I105" s="16"/>
      <c r="J105" s="16"/>
      <c r="K105" s="16"/>
      <c r="L105" s="17"/>
      <c r="W105" s="16" t="e">
        <f t="shared" si="5"/>
        <v>#DIV/0!</v>
      </c>
      <c r="X105" s="16" t="e">
        <f t="shared" si="6"/>
        <v>#DIV/0!</v>
      </c>
      <c r="Y105" s="1">
        <f t="shared" si="7"/>
        <v>-18</v>
      </c>
    </row>
    <row r="106" spans="1:25" x14ac:dyDescent="0.2">
      <c r="A106" s="15">
        <v>45949.541666666664</v>
      </c>
      <c r="B106" t="s">
        <v>53</v>
      </c>
      <c r="C106">
        <v>22</v>
      </c>
      <c r="D106" t="s">
        <v>22</v>
      </c>
      <c r="E106">
        <v>28</v>
      </c>
      <c r="F106">
        <f t="shared" si="4"/>
        <v>-6</v>
      </c>
      <c r="G106">
        <v>0</v>
      </c>
      <c r="H106" s="16"/>
      <c r="I106" s="16"/>
      <c r="J106" s="16"/>
      <c r="K106" s="16"/>
      <c r="L106" s="17"/>
      <c r="W106" s="16" t="e">
        <f t="shared" si="5"/>
        <v>#DIV/0!</v>
      </c>
      <c r="X106" s="16" t="e">
        <f t="shared" si="6"/>
        <v>#DIV/0!</v>
      </c>
      <c r="Y106" s="1">
        <f t="shared" si="7"/>
        <v>-6</v>
      </c>
    </row>
    <row r="107" spans="1:25" x14ac:dyDescent="0.2">
      <c r="A107" s="15">
        <v>45949.670138888891</v>
      </c>
      <c r="B107" t="s">
        <v>42</v>
      </c>
      <c r="C107">
        <v>33</v>
      </c>
      <c r="D107" t="s">
        <v>31</v>
      </c>
      <c r="E107">
        <v>32</v>
      </c>
      <c r="F107">
        <f t="shared" si="4"/>
        <v>1</v>
      </c>
      <c r="G107">
        <v>0</v>
      </c>
      <c r="H107" s="16"/>
      <c r="I107" s="16"/>
      <c r="J107" s="16"/>
      <c r="K107" s="16"/>
      <c r="L107" s="17"/>
      <c r="W107" s="16" t="e">
        <f t="shared" si="5"/>
        <v>#DIV/0!</v>
      </c>
      <c r="X107" s="16" t="e">
        <f t="shared" si="6"/>
        <v>#DIV/0!</v>
      </c>
      <c r="Y107" s="1">
        <f t="shared" si="7"/>
        <v>1</v>
      </c>
    </row>
    <row r="108" spans="1:25" x14ac:dyDescent="0.2">
      <c r="A108" s="15">
        <v>45949.670138888891</v>
      </c>
      <c r="B108" t="s">
        <v>24</v>
      </c>
      <c r="C108">
        <v>24</v>
      </c>
      <c r="D108" t="s">
        <v>28</v>
      </c>
      <c r="E108">
        <v>38</v>
      </c>
      <c r="F108">
        <f t="shared" si="4"/>
        <v>-14</v>
      </c>
      <c r="G108">
        <v>0</v>
      </c>
      <c r="H108" s="16"/>
      <c r="I108" s="16"/>
      <c r="J108" s="16"/>
      <c r="K108" s="16"/>
      <c r="L108" s="17"/>
      <c r="W108" s="16" t="e">
        <f t="shared" si="5"/>
        <v>#DIV/0!</v>
      </c>
      <c r="X108" s="16" t="e">
        <f t="shared" si="6"/>
        <v>#DIV/0!</v>
      </c>
      <c r="Y108" s="1">
        <f t="shared" si="7"/>
        <v>-14</v>
      </c>
    </row>
    <row r="109" spans="1:25" x14ac:dyDescent="0.2">
      <c r="A109" s="15">
        <v>45949.684027777781</v>
      </c>
      <c r="B109" t="s">
        <v>41</v>
      </c>
      <c r="C109">
        <v>23</v>
      </c>
      <c r="D109" t="s">
        <v>46</v>
      </c>
      <c r="E109">
        <v>27</v>
      </c>
      <c r="F109">
        <f t="shared" si="4"/>
        <v>-4</v>
      </c>
      <c r="G109">
        <v>0</v>
      </c>
      <c r="H109" s="16"/>
      <c r="I109" s="16"/>
      <c r="J109" s="16"/>
      <c r="K109" s="16"/>
      <c r="L109" s="17"/>
      <c r="W109" s="16" t="e">
        <f t="shared" si="5"/>
        <v>#DIV/0!</v>
      </c>
      <c r="X109" s="16" t="e">
        <f t="shared" si="6"/>
        <v>#DIV/0!</v>
      </c>
      <c r="Y109" s="1">
        <f t="shared" si="7"/>
        <v>-4</v>
      </c>
    </row>
    <row r="110" spans="1:25" x14ac:dyDescent="0.2">
      <c r="A110" s="15">
        <v>45949.684027777781</v>
      </c>
      <c r="B110" t="s">
        <v>23</v>
      </c>
      <c r="C110">
        <v>44</v>
      </c>
      <c r="D110" t="s">
        <v>30</v>
      </c>
      <c r="E110">
        <v>22</v>
      </c>
      <c r="F110">
        <f t="shared" si="4"/>
        <v>22</v>
      </c>
      <c r="G110">
        <v>0</v>
      </c>
      <c r="H110" s="16"/>
      <c r="I110" s="16"/>
      <c r="J110" s="16"/>
      <c r="K110" s="16"/>
      <c r="L110" s="17"/>
      <c r="W110" s="16" t="e">
        <f t="shared" si="5"/>
        <v>#DIV/0!</v>
      </c>
      <c r="X110" s="16" t="e">
        <f t="shared" si="6"/>
        <v>#DIV/0!</v>
      </c>
      <c r="Y110" s="1">
        <f t="shared" si="7"/>
        <v>22</v>
      </c>
    </row>
    <row r="111" spans="1:25" x14ac:dyDescent="0.2">
      <c r="A111" s="15">
        <v>45949.847222222219</v>
      </c>
      <c r="B111" t="s">
        <v>45</v>
      </c>
      <c r="C111">
        <v>20</v>
      </c>
      <c r="D111" t="s">
        <v>32</v>
      </c>
      <c r="E111">
        <v>10</v>
      </c>
      <c r="F111">
        <f t="shared" si="4"/>
        <v>10</v>
      </c>
      <c r="G111">
        <v>0</v>
      </c>
      <c r="H111" s="16"/>
      <c r="I111" s="16"/>
      <c r="J111" s="16"/>
      <c r="K111" s="16"/>
      <c r="L111" s="17"/>
      <c r="W111" s="16" t="e">
        <f t="shared" si="5"/>
        <v>#DIV/0!</v>
      </c>
      <c r="X111" s="16" t="e">
        <f t="shared" si="6"/>
        <v>#DIV/0!</v>
      </c>
      <c r="Y111" s="1">
        <f t="shared" si="7"/>
        <v>10</v>
      </c>
    </row>
    <row r="112" spans="1:25" x14ac:dyDescent="0.2">
      <c r="A112" s="15">
        <v>45950.791666666664</v>
      </c>
      <c r="B112" t="s">
        <v>47</v>
      </c>
      <c r="C112">
        <v>24</v>
      </c>
      <c r="D112" t="s">
        <v>33</v>
      </c>
      <c r="E112">
        <v>9</v>
      </c>
      <c r="F112">
        <f t="shared" si="4"/>
        <v>15</v>
      </c>
      <c r="G112">
        <v>0</v>
      </c>
      <c r="H112" s="16"/>
      <c r="I112" s="16"/>
      <c r="J112" s="16"/>
      <c r="K112" s="16"/>
      <c r="L112" s="17"/>
      <c r="W112" s="16" t="e">
        <f t="shared" si="5"/>
        <v>#DIV/0!</v>
      </c>
      <c r="X112" s="16" t="e">
        <f t="shared" si="6"/>
        <v>#DIV/0!</v>
      </c>
      <c r="Y112" s="1">
        <f t="shared" si="7"/>
        <v>15</v>
      </c>
    </row>
    <row r="113" spans="1:25" x14ac:dyDescent="0.2">
      <c r="A113" s="15">
        <v>45950.916666666664</v>
      </c>
      <c r="B113" t="s">
        <v>44</v>
      </c>
      <c r="C113">
        <v>27</v>
      </c>
      <c r="D113" t="s">
        <v>49</v>
      </c>
      <c r="E113">
        <v>19</v>
      </c>
      <c r="F113">
        <f t="shared" si="4"/>
        <v>8</v>
      </c>
      <c r="G113">
        <v>0</v>
      </c>
      <c r="H113" s="16"/>
      <c r="I113" s="16"/>
      <c r="J113" s="16"/>
      <c r="K113" s="16"/>
      <c r="L113" s="17"/>
      <c r="W113" s="16" t="e">
        <f t="shared" si="5"/>
        <v>#DIV/0!</v>
      </c>
      <c r="X113" s="16" t="e">
        <f t="shared" si="6"/>
        <v>#DIV/0!</v>
      </c>
      <c r="Y113" s="1">
        <f t="shared" si="7"/>
        <v>8</v>
      </c>
    </row>
    <row r="114" spans="1:25" x14ac:dyDescent="0.2">
      <c r="A114" s="15">
        <v>45953.84375</v>
      </c>
      <c r="B114" t="s">
        <v>24</v>
      </c>
      <c r="C114">
        <v>37</v>
      </c>
      <c r="D114" t="s">
        <v>53</v>
      </c>
      <c r="E114">
        <v>10</v>
      </c>
      <c r="F114">
        <f t="shared" si="4"/>
        <v>27</v>
      </c>
      <c r="G114">
        <v>0</v>
      </c>
      <c r="H114" s="16"/>
      <c r="I114" s="16"/>
      <c r="J114" s="16"/>
      <c r="K114" s="16"/>
      <c r="L114" s="17"/>
      <c r="W114" s="16" t="e">
        <f t="shared" si="5"/>
        <v>#DIV/0!</v>
      </c>
      <c r="X114" s="16" t="e">
        <f t="shared" si="6"/>
        <v>#DIV/0!</v>
      </c>
      <c r="Y114" s="1">
        <f t="shared" si="7"/>
        <v>27</v>
      </c>
    </row>
    <row r="115" spans="1:25" x14ac:dyDescent="0.2">
      <c r="A115" s="15">
        <v>45956.541666666664</v>
      </c>
      <c r="B115" t="s">
        <v>27</v>
      </c>
      <c r="C115">
        <v>38</v>
      </c>
      <c r="D115" t="s">
        <v>36</v>
      </c>
      <c r="E115">
        <v>39</v>
      </c>
      <c r="F115">
        <f t="shared" si="4"/>
        <v>-1</v>
      </c>
      <c r="G115">
        <v>0</v>
      </c>
      <c r="H115" s="16"/>
      <c r="I115" s="16"/>
      <c r="J115" s="16"/>
      <c r="K115" s="16"/>
      <c r="L115" s="17"/>
      <c r="W115" s="16" t="e">
        <f t="shared" si="5"/>
        <v>#DIV/0!</v>
      </c>
      <c r="X115" s="16" t="e">
        <f t="shared" si="6"/>
        <v>#DIV/0!</v>
      </c>
      <c r="Y115" s="1">
        <f t="shared" si="7"/>
        <v>-1</v>
      </c>
    </row>
    <row r="116" spans="1:25" x14ac:dyDescent="0.2">
      <c r="A116" s="15">
        <v>45956.541666666664</v>
      </c>
      <c r="B116" t="s">
        <v>22</v>
      </c>
      <c r="C116">
        <v>38</v>
      </c>
      <c r="D116" t="s">
        <v>31</v>
      </c>
      <c r="E116">
        <v>20</v>
      </c>
      <c r="F116">
        <f t="shared" si="4"/>
        <v>18</v>
      </c>
      <c r="G116">
        <v>0</v>
      </c>
      <c r="H116" s="16"/>
      <c r="I116" s="16"/>
      <c r="J116" s="16"/>
      <c r="K116" s="16"/>
      <c r="L116" s="17"/>
      <c r="W116" s="16" t="e">
        <f t="shared" si="5"/>
        <v>#DIV/0!</v>
      </c>
      <c r="X116" s="16" t="e">
        <f t="shared" si="6"/>
        <v>#DIV/0!</v>
      </c>
      <c r="Y116" s="1">
        <f t="shared" si="7"/>
        <v>18</v>
      </c>
    </row>
    <row r="117" spans="1:25" x14ac:dyDescent="0.2">
      <c r="A117" s="15">
        <v>45956.541666666664</v>
      </c>
      <c r="B117" t="s">
        <v>32</v>
      </c>
      <c r="C117">
        <v>10</v>
      </c>
      <c r="D117" t="s">
        <v>29</v>
      </c>
      <c r="E117">
        <v>34</v>
      </c>
      <c r="F117">
        <f t="shared" si="4"/>
        <v>-24</v>
      </c>
      <c r="G117">
        <v>0</v>
      </c>
      <c r="H117" s="16"/>
      <c r="I117" s="16"/>
      <c r="J117" s="16"/>
      <c r="K117" s="16"/>
      <c r="L117" s="17"/>
      <c r="W117" s="16" t="e">
        <f t="shared" si="5"/>
        <v>#DIV/0!</v>
      </c>
      <c r="X117" s="16" t="e">
        <f t="shared" si="6"/>
        <v>#DIV/0!</v>
      </c>
      <c r="Y117" s="1">
        <f t="shared" si="7"/>
        <v>-24</v>
      </c>
    </row>
    <row r="118" spans="1:25" x14ac:dyDescent="0.2">
      <c r="A118" s="15">
        <v>45956.541666666664</v>
      </c>
      <c r="B118" t="s">
        <v>35</v>
      </c>
      <c r="C118">
        <v>9</v>
      </c>
      <c r="D118" t="s">
        <v>50</v>
      </c>
      <c r="E118">
        <v>40</v>
      </c>
      <c r="F118">
        <f t="shared" si="4"/>
        <v>-31</v>
      </c>
      <c r="G118">
        <v>0</v>
      </c>
      <c r="H118" s="16"/>
      <c r="I118" s="16"/>
      <c r="J118" s="16"/>
      <c r="K118" s="16"/>
      <c r="L118" s="17"/>
      <c r="W118" s="16" t="e">
        <f t="shared" si="5"/>
        <v>#DIV/0!</v>
      </c>
      <c r="X118" s="16" t="e">
        <f t="shared" si="6"/>
        <v>#DIV/0!</v>
      </c>
      <c r="Y118" s="1">
        <f t="shared" si="7"/>
        <v>-31</v>
      </c>
    </row>
    <row r="119" spans="1:25" x14ac:dyDescent="0.2">
      <c r="A119" s="15">
        <v>45956.541666666664</v>
      </c>
      <c r="B119" t="s">
        <v>38</v>
      </c>
      <c r="C119">
        <v>32</v>
      </c>
      <c r="D119" t="s">
        <v>26</v>
      </c>
      <c r="E119">
        <v>13</v>
      </c>
      <c r="F119">
        <f t="shared" si="4"/>
        <v>19</v>
      </c>
      <c r="G119">
        <v>0</v>
      </c>
      <c r="H119" s="16"/>
      <c r="I119" s="16"/>
      <c r="J119" s="16"/>
      <c r="K119" s="16"/>
      <c r="L119" s="17"/>
      <c r="W119" s="16" t="e">
        <f t="shared" si="5"/>
        <v>#DIV/0!</v>
      </c>
      <c r="X119" s="16" t="e">
        <f t="shared" si="6"/>
        <v>#DIV/0!</v>
      </c>
      <c r="Y119" s="1">
        <f t="shared" si="7"/>
        <v>19</v>
      </c>
    </row>
    <row r="120" spans="1:25" x14ac:dyDescent="0.2">
      <c r="A120" s="15">
        <v>45956.541666666664</v>
      </c>
      <c r="B120" t="s">
        <v>51</v>
      </c>
      <c r="C120">
        <v>30</v>
      </c>
      <c r="D120" t="s">
        <v>52</v>
      </c>
      <c r="E120">
        <v>16</v>
      </c>
      <c r="F120">
        <f t="shared" si="4"/>
        <v>14</v>
      </c>
      <c r="G120">
        <v>0</v>
      </c>
      <c r="H120" s="16"/>
      <c r="I120" s="16"/>
      <c r="J120" s="16"/>
      <c r="K120" s="16"/>
      <c r="L120" s="17"/>
      <c r="W120" s="16" t="e">
        <f t="shared" si="5"/>
        <v>#DIV/0!</v>
      </c>
      <c r="X120" s="16" t="e">
        <f t="shared" si="6"/>
        <v>#DIV/0!</v>
      </c>
      <c r="Y120" s="1">
        <f t="shared" si="7"/>
        <v>14</v>
      </c>
    </row>
    <row r="121" spans="1:25" x14ac:dyDescent="0.2">
      <c r="A121" s="15">
        <v>45956.541666666664</v>
      </c>
      <c r="B121" t="s">
        <v>49</v>
      </c>
      <c r="C121">
        <v>26</v>
      </c>
      <c r="D121" t="s">
        <v>45</v>
      </c>
      <c r="E121">
        <v>15</v>
      </c>
      <c r="F121">
        <f t="shared" si="4"/>
        <v>11</v>
      </c>
      <c r="G121">
        <v>0</v>
      </c>
      <c r="H121" s="16"/>
      <c r="I121" s="16"/>
      <c r="J121" s="16"/>
      <c r="K121" s="16"/>
      <c r="L121" s="17"/>
      <c r="W121" s="16" t="e">
        <f t="shared" si="5"/>
        <v>#DIV/0!</v>
      </c>
      <c r="X121" s="16" t="e">
        <f t="shared" si="6"/>
        <v>#DIV/0!</v>
      </c>
      <c r="Y121" s="1">
        <f t="shared" si="7"/>
        <v>11</v>
      </c>
    </row>
    <row r="122" spans="1:25" x14ac:dyDescent="0.2">
      <c r="A122" s="15">
        <v>45956.670138888891</v>
      </c>
      <c r="B122" t="s">
        <v>40</v>
      </c>
      <c r="C122">
        <v>3</v>
      </c>
      <c r="D122" t="s">
        <v>33</v>
      </c>
      <c r="E122">
        <v>23</v>
      </c>
      <c r="F122">
        <f t="shared" si="4"/>
        <v>-20</v>
      </c>
      <c r="G122">
        <v>0</v>
      </c>
      <c r="H122" s="16"/>
      <c r="I122" s="16"/>
      <c r="J122" s="16"/>
      <c r="K122" s="16"/>
      <c r="L122" s="17"/>
      <c r="W122" s="16" t="e">
        <f t="shared" si="5"/>
        <v>#DIV/0!</v>
      </c>
      <c r="X122" s="16" t="e">
        <f t="shared" si="6"/>
        <v>#DIV/0!</v>
      </c>
      <c r="Y122" s="1">
        <f t="shared" si="7"/>
        <v>-20</v>
      </c>
    </row>
    <row r="123" spans="1:25" x14ac:dyDescent="0.2">
      <c r="A123" s="15">
        <v>45956.684027777781</v>
      </c>
      <c r="B123" t="s">
        <v>42</v>
      </c>
      <c r="C123">
        <v>44</v>
      </c>
      <c r="D123" t="s">
        <v>23</v>
      </c>
      <c r="E123">
        <v>24</v>
      </c>
      <c r="F123">
        <f t="shared" si="4"/>
        <v>20</v>
      </c>
      <c r="G123">
        <v>0</v>
      </c>
      <c r="H123" s="16"/>
      <c r="I123" s="16"/>
      <c r="J123" s="16"/>
      <c r="K123" s="16"/>
      <c r="L123" s="17"/>
      <c r="W123" s="16" t="e">
        <f t="shared" si="5"/>
        <v>#DIV/0!</v>
      </c>
      <c r="X123" s="16" t="e">
        <f t="shared" si="6"/>
        <v>#DIV/0!</v>
      </c>
      <c r="Y123" s="1">
        <f t="shared" si="7"/>
        <v>20</v>
      </c>
    </row>
    <row r="124" spans="1:25" x14ac:dyDescent="0.2">
      <c r="A124" s="15">
        <v>45956.684027777781</v>
      </c>
      <c r="B124" t="s">
        <v>28</v>
      </c>
      <c r="C124">
        <v>38</v>
      </c>
      <c r="D124" t="s">
        <v>43</v>
      </c>
      <c r="E124">
        <v>14</v>
      </c>
      <c r="F124">
        <f t="shared" si="4"/>
        <v>24</v>
      </c>
      <c r="G124">
        <v>0</v>
      </c>
      <c r="H124" s="16"/>
      <c r="I124" s="16"/>
      <c r="J124" s="16"/>
      <c r="K124" s="16"/>
      <c r="L124" s="17"/>
      <c r="W124" s="16" t="e">
        <f t="shared" si="5"/>
        <v>#DIV/0!</v>
      </c>
      <c r="X124" s="16" t="e">
        <f t="shared" si="6"/>
        <v>#DIV/0!</v>
      </c>
      <c r="Y124" s="1">
        <f t="shared" si="7"/>
        <v>24</v>
      </c>
    </row>
    <row r="125" spans="1:25" x14ac:dyDescent="0.2">
      <c r="A125" s="15">
        <v>45956.847222222219</v>
      </c>
      <c r="B125" t="s">
        <v>37</v>
      </c>
      <c r="C125">
        <v>25</v>
      </c>
      <c r="D125" t="s">
        <v>46</v>
      </c>
      <c r="E125">
        <v>35</v>
      </c>
      <c r="F125">
        <f t="shared" si="4"/>
        <v>-10</v>
      </c>
      <c r="G125">
        <v>0</v>
      </c>
      <c r="H125" s="16"/>
      <c r="I125" s="16"/>
      <c r="J125" s="16"/>
      <c r="K125" s="16"/>
      <c r="L125" s="17"/>
      <c r="W125" s="16" t="e">
        <f t="shared" si="5"/>
        <v>#DIV/0!</v>
      </c>
      <c r="X125" s="16" t="e">
        <f t="shared" si="6"/>
        <v>#DIV/0!</v>
      </c>
      <c r="Y125" s="1">
        <f t="shared" si="7"/>
        <v>-10</v>
      </c>
    </row>
    <row r="126" spans="1:25" x14ac:dyDescent="0.2">
      <c r="A126" s="15">
        <v>45957.84375</v>
      </c>
      <c r="B126" t="s">
        <v>25</v>
      </c>
      <c r="C126">
        <v>28</v>
      </c>
      <c r="D126" t="s">
        <v>30</v>
      </c>
      <c r="E126">
        <v>7</v>
      </c>
      <c r="F126">
        <f t="shared" si="4"/>
        <v>21</v>
      </c>
      <c r="G126">
        <v>0</v>
      </c>
      <c r="H126" s="16"/>
      <c r="I126" s="16"/>
      <c r="J126" s="16"/>
      <c r="K126" s="16"/>
      <c r="L126" s="17"/>
      <c r="W126" s="16" t="e">
        <f t="shared" si="5"/>
        <v>#DIV/0!</v>
      </c>
      <c r="X126" s="16" t="e">
        <f t="shared" si="6"/>
        <v>#DIV/0!</v>
      </c>
      <c r="Y126" s="1">
        <f t="shared" si="7"/>
        <v>21</v>
      </c>
    </row>
    <row r="127" spans="1:25" x14ac:dyDescent="0.2">
      <c r="A127" s="15">
        <v>45960.84375</v>
      </c>
      <c r="B127" t="s">
        <v>29</v>
      </c>
      <c r="C127">
        <v>6</v>
      </c>
      <c r="D127" t="s">
        <v>51</v>
      </c>
      <c r="E127">
        <v>28</v>
      </c>
      <c r="F127">
        <f t="shared" si="4"/>
        <v>-22</v>
      </c>
      <c r="G127">
        <v>0</v>
      </c>
      <c r="H127" s="16"/>
      <c r="I127" s="16"/>
      <c r="J127" s="16"/>
      <c r="K127" s="16"/>
      <c r="L127" s="17"/>
      <c r="W127" s="16" t="e">
        <f t="shared" si="5"/>
        <v>#DIV/0!</v>
      </c>
      <c r="X127" s="16" t="e">
        <f t="shared" si="6"/>
        <v>#DIV/0!</v>
      </c>
      <c r="Y127" s="1">
        <f t="shared" si="7"/>
        <v>-22</v>
      </c>
    </row>
    <row r="128" spans="1:25" x14ac:dyDescent="0.2">
      <c r="A128" s="15">
        <v>45963.541666666664</v>
      </c>
      <c r="B128" t="s">
        <v>27</v>
      </c>
      <c r="C128">
        <v>42</v>
      </c>
      <c r="D128" t="s">
        <v>52</v>
      </c>
      <c r="E128">
        <v>47</v>
      </c>
      <c r="F128">
        <f t="shared" si="4"/>
        <v>-5</v>
      </c>
      <c r="G128">
        <v>0</v>
      </c>
      <c r="H128" s="16"/>
      <c r="I128" s="16"/>
      <c r="J128" s="16"/>
      <c r="K128" s="16"/>
      <c r="L128" s="17"/>
      <c r="W128" s="16" t="e">
        <f t="shared" si="5"/>
        <v>#DIV/0!</v>
      </c>
      <c r="X128" s="16" t="e">
        <f t="shared" si="6"/>
        <v>#DIV/0!</v>
      </c>
      <c r="Y128" s="1">
        <f t="shared" si="7"/>
        <v>-5</v>
      </c>
    </row>
    <row r="129" spans="1:25" x14ac:dyDescent="0.2">
      <c r="A129" s="15">
        <v>45963.541666666664</v>
      </c>
      <c r="B129" t="s">
        <v>31</v>
      </c>
      <c r="C129">
        <v>24</v>
      </c>
      <c r="D129" t="s">
        <v>45</v>
      </c>
      <c r="E129">
        <v>34</v>
      </c>
      <c r="F129">
        <f t="shared" si="4"/>
        <v>-10</v>
      </c>
      <c r="G129">
        <v>0</v>
      </c>
      <c r="H129" s="16"/>
      <c r="I129" s="16"/>
      <c r="J129" s="16"/>
      <c r="K129" s="16"/>
      <c r="L129" s="17"/>
      <c r="W129" s="16" t="e">
        <f t="shared" si="5"/>
        <v>#DIV/0!</v>
      </c>
      <c r="X129" s="16" t="e">
        <f t="shared" si="6"/>
        <v>#DIV/0!</v>
      </c>
      <c r="Y129" s="1">
        <f t="shared" si="7"/>
        <v>-10</v>
      </c>
    </row>
    <row r="130" spans="1:25" x14ac:dyDescent="0.2">
      <c r="A130" s="15">
        <v>45963.541666666664</v>
      </c>
      <c r="B130" t="s">
        <v>47</v>
      </c>
      <c r="C130">
        <v>24</v>
      </c>
      <c r="D130" t="s">
        <v>53</v>
      </c>
      <c r="E130">
        <v>27</v>
      </c>
      <c r="F130">
        <f t="shared" si="4"/>
        <v>-3</v>
      </c>
      <c r="G130">
        <v>0</v>
      </c>
      <c r="H130" s="16"/>
      <c r="I130" s="16"/>
      <c r="J130" s="16"/>
      <c r="K130" s="16"/>
      <c r="L130" s="17"/>
      <c r="W130" s="16" t="e">
        <f t="shared" si="5"/>
        <v>#DIV/0!</v>
      </c>
      <c r="X130" s="16" t="e">
        <f t="shared" si="6"/>
        <v>#DIV/0!</v>
      </c>
      <c r="Y130" s="1">
        <f t="shared" si="7"/>
        <v>-3</v>
      </c>
    </row>
    <row r="131" spans="1:25" x14ac:dyDescent="0.2">
      <c r="A131" s="15">
        <v>45963.541666666664</v>
      </c>
      <c r="B131" t="s">
        <v>46</v>
      </c>
      <c r="C131">
        <v>13</v>
      </c>
      <c r="D131" t="s">
        <v>35</v>
      </c>
      <c r="E131">
        <v>16</v>
      </c>
      <c r="F131">
        <f t="shared" si="4"/>
        <v>-3</v>
      </c>
      <c r="G131">
        <v>0</v>
      </c>
      <c r="H131" s="16"/>
      <c r="I131" s="16"/>
      <c r="J131" s="16"/>
      <c r="K131" s="16"/>
      <c r="L131" s="17"/>
      <c r="W131" s="16" t="e">
        <f t="shared" si="5"/>
        <v>#DIV/0!</v>
      </c>
      <c r="X131" s="16" t="e">
        <f t="shared" si="6"/>
        <v>#DIV/0!</v>
      </c>
      <c r="Y131" s="1">
        <f t="shared" si="7"/>
        <v>-3</v>
      </c>
    </row>
    <row r="132" spans="1:25" x14ac:dyDescent="0.2">
      <c r="A132" s="15">
        <v>45963.541666666664</v>
      </c>
      <c r="B132" t="s">
        <v>38</v>
      </c>
      <c r="C132">
        <v>24</v>
      </c>
      <c r="D132" t="s">
        <v>32</v>
      </c>
      <c r="E132">
        <v>23</v>
      </c>
      <c r="F132">
        <f t="shared" si="4"/>
        <v>1</v>
      </c>
      <c r="G132">
        <v>0</v>
      </c>
      <c r="H132" s="16"/>
      <c r="I132" s="16"/>
      <c r="J132" s="16"/>
      <c r="K132" s="16"/>
      <c r="L132" s="17"/>
      <c r="W132" s="16" t="e">
        <f t="shared" si="5"/>
        <v>#DIV/0!</v>
      </c>
      <c r="X132" s="16" t="e">
        <f t="shared" si="6"/>
        <v>#DIV/0!</v>
      </c>
      <c r="Y132" s="1">
        <f t="shared" si="7"/>
        <v>1</v>
      </c>
    </row>
    <row r="133" spans="1:25" x14ac:dyDescent="0.2">
      <c r="A133" s="15">
        <v>45963.541666666664</v>
      </c>
      <c r="B133" t="s">
        <v>37</v>
      </c>
      <c r="C133">
        <v>27</v>
      </c>
      <c r="D133" t="s">
        <v>28</v>
      </c>
      <c r="E133">
        <v>20</v>
      </c>
      <c r="F133">
        <f t="shared" si="4"/>
        <v>7</v>
      </c>
      <c r="G133">
        <v>0</v>
      </c>
      <c r="H133" s="16"/>
      <c r="I133" s="16"/>
      <c r="J133" s="16"/>
      <c r="K133" s="16"/>
      <c r="L133" s="17"/>
      <c r="W133" s="16" t="e">
        <f t="shared" si="5"/>
        <v>#DIV/0!</v>
      </c>
      <c r="X133" s="16" t="e">
        <f t="shared" si="6"/>
        <v>#DIV/0!</v>
      </c>
      <c r="Y133" s="1">
        <f t="shared" si="7"/>
        <v>7</v>
      </c>
    </row>
    <row r="134" spans="1:25" x14ac:dyDescent="0.2">
      <c r="A134" s="15">
        <v>45963.541666666664</v>
      </c>
      <c r="B134" t="s">
        <v>49</v>
      </c>
      <c r="C134">
        <v>15</v>
      </c>
      <c r="D134" t="s">
        <v>42</v>
      </c>
      <c r="E134">
        <v>18</v>
      </c>
      <c r="F134">
        <f t="shared" ref="F134:F197" si="8">C134-E134</f>
        <v>-3</v>
      </c>
      <c r="G134">
        <v>0</v>
      </c>
      <c r="H134" s="16"/>
      <c r="I134" s="16"/>
      <c r="J134" s="16"/>
      <c r="K134" s="16"/>
      <c r="L134" s="17"/>
      <c r="W134" s="16" t="e">
        <f t="shared" si="5"/>
        <v>#DIV/0!</v>
      </c>
      <c r="X134" s="16" t="e">
        <f t="shared" si="6"/>
        <v>#DIV/0!</v>
      </c>
      <c r="Y134" s="1">
        <f t="shared" si="7"/>
        <v>-3</v>
      </c>
    </row>
    <row r="135" spans="1:25" x14ac:dyDescent="0.2">
      <c r="A135" s="15">
        <v>45963.541666666664</v>
      </c>
      <c r="B135" t="s">
        <v>43</v>
      </c>
      <c r="C135">
        <v>20</v>
      </c>
      <c r="D135" t="s">
        <v>24</v>
      </c>
      <c r="E135">
        <v>27</v>
      </c>
      <c r="F135">
        <f t="shared" si="8"/>
        <v>-7</v>
      </c>
      <c r="G135">
        <v>0</v>
      </c>
      <c r="H135" s="16"/>
      <c r="I135" s="16"/>
      <c r="J135" s="16"/>
      <c r="K135" s="16"/>
      <c r="L135" s="17"/>
      <c r="W135" s="16" t="e">
        <f t="shared" ref="W135:W198" si="9">(H135+J135)/SUM(H135:J135)</f>
        <v>#DIV/0!</v>
      </c>
      <c r="X135" s="16" t="e">
        <f t="shared" ref="X135:X198" si="10">(W135-0.5)</f>
        <v>#DIV/0!</v>
      </c>
      <c r="Y135" s="1">
        <f t="shared" ref="Y135:Y198" si="11">F135</f>
        <v>-7</v>
      </c>
    </row>
    <row r="136" spans="1:25" x14ac:dyDescent="0.2">
      <c r="A136" s="15">
        <v>45963.670138888891</v>
      </c>
      <c r="B136" t="s">
        <v>39</v>
      </c>
      <c r="C136">
        <v>29</v>
      </c>
      <c r="D136" t="s">
        <v>34</v>
      </c>
      <c r="E136">
        <v>30</v>
      </c>
      <c r="F136">
        <f t="shared" si="8"/>
        <v>-1</v>
      </c>
      <c r="G136">
        <v>0</v>
      </c>
      <c r="H136" s="16"/>
      <c r="I136" s="16"/>
      <c r="J136" s="16"/>
      <c r="K136" s="16"/>
      <c r="L136" s="17"/>
      <c r="W136" s="16" t="e">
        <f t="shared" si="9"/>
        <v>#DIV/0!</v>
      </c>
      <c r="X136" s="16" t="e">
        <f t="shared" si="10"/>
        <v>#DIV/0!</v>
      </c>
      <c r="Y136" s="1">
        <f t="shared" si="11"/>
        <v>-1</v>
      </c>
    </row>
    <row r="137" spans="1:25" x14ac:dyDescent="0.2">
      <c r="A137" s="15">
        <v>45963.670138888891</v>
      </c>
      <c r="B137" t="s">
        <v>48</v>
      </c>
      <c r="C137">
        <v>34</v>
      </c>
      <c r="D137" t="s">
        <v>40</v>
      </c>
      <c r="E137">
        <v>10</v>
      </c>
      <c r="F137">
        <f t="shared" si="8"/>
        <v>24</v>
      </c>
      <c r="G137">
        <v>0</v>
      </c>
      <c r="H137" s="16"/>
      <c r="I137" s="16"/>
      <c r="J137" s="16"/>
      <c r="K137" s="16"/>
      <c r="L137" s="17"/>
      <c r="W137" s="16" t="e">
        <f t="shared" si="9"/>
        <v>#DIV/0!</v>
      </c>
      <c r="X137" s="16" t="e">
        <f t="shared" si="10"/>
        <v>#DIV/0!</v>
      </c>
      <c r="Y137" s="1">
        <f t="shared" si="11"/>
        <v>24</v>
      </c>
    </row>
    <row r="138" spans="1:25" x14ac:dyDescent="0.2">
      <c r="A138" s="15">
        <v>45963.684027777781</v>
      </c>
      <c r="B138" t="s">
        <v>50</v>
      </c>
      <c r="C138">
        <v>28</v>
      </c>
      <c r="D138" t="s">
        <v>25</v>
      </c>
      <c r="E138">
        <v>21</v>
      </c>
      <c r="F138">
        <f t="shared" si="8"/>
        <v>7</v>
      </c>
      <c r="G138">
        <v>0</v>
      </c>
      <c r="H138" s="16"/>
      <c r="I138" s="16"/>
      <c r="J138" s="16"/>
      <c r="K138" s="16"/>
      <c r="L138" s="17"/>
      <c r="W138" s="16" t="e">
        <f t="shared" si="9"/>
        <v>#DIV/0!</v>
      </c>
      <c r="X138" s="16" t="e">
        <f t="shared" si="10"/>
        <v>#DIV/0!</v>
      </c>
      <c r="Y138" s="1">
        <f t="shared" si="11"/>
        <v>7</v>
      </c>
    </row>
    <row r="139" spans="1:25" x14ac:dyDescent="0.2">
      <c r="A139" s="15">
        <v>45963.847222222219</v>
      </c>
      <c r="B139" t="s">
        <v>30</v>
      </c>
      <c r="C139">
        <v>14</v>
      </c>
      <c r="D139" t="s">
        <v>44</v>
      </c>
      <c r="E139">
        <v>38</v>
      </c>
      <c r="F139">
        <f t="shared" si="8"/>
        <v>-24</v>
      </c>
      <c r="G139">
        <v>0</v>
      </c>
      <c r="H139" s="16"/>
      <c r="I139" s="16"/>
      <c r="J139" s="16"/>
      <c r="K139" s="16"/>
      <c r="L139" s="17"/>
      <c r="W139" s="16" t="e">
        <f t="shared" si="9"/>
        <v>#DIV/0!</v>
      </c>
      <c r="X139" s="16" t="e">
        <f t="shared" si="10"/>
        <v>#DIV/0!</v>
      </c>
      <c r="Y139" s="1">
        <f t="shared" si="11"/>
        <v>-24</v>
      </c>
    </row>
    <row r="140" spans="1:25" x14ac:dyDescent="0.2">
      <c r="A140" s="15">
        <v>45964.84375</v>
      </c>
      <c r="B140" t="s">
        <v>23</v>
      </c>
      <c r="C140">
        <v>17</v>
      </c>
      <c r="D140" t="s">
        <v>41</v>
      </c>
      <c r="E140">
        <v>27</v>
      </c>
      <c r="F140">
        <f t="shared" si="8"/>
        <v>-10</v>
      </c>
      <c r="G140">
        <v>0</v>
      </c>
      <c r="H140" s="16"/>
      <c r="I140" s="16"/>
      <c r="J140" s="16"/>
      <c r="K140" s="16"/>
      <c r="L140" s="17"/>
      <c r="W140" s="16" t="e">
        <f t="shared" si="9"/>
        <v>#DIV/0!</v>
      </c>
      <c r="X140" s="16" t="e">
        <f t="shared" si="10"/>
        <v>#DIV/0!</v>
      </c>
      <c r="Y140" s="1">
        <f t="shared" si="11"/>
        <v>-10</v>
      </c>
    </row>
    <row r="141" spans="1:25" x14ac:dyDescent="0.2">
      <c r="A141" s="15">
        <v>45967.84375</v>
      </c>
      <c r="B141" t="s">
        <v>42</v>
      </c>
      <c r="C141">
        <v>10</v>
      </c>
      <c r="D141" t="s">
        <v>39</v>
      </c>
      <c r="E141">
        <v>7</v>
      </c>
      <c r="F141">
        <f t="shared" si="8"/>
        <v>3</v>
      </c>
      <c r="G141">
        <v>0</v>
      </c>
      <c r="H141" s="16"/>
      <c r="I141" s="16"/>
      <c r="J141" s="16"/>
      <c r="K141" s="16"/>
      <c r="L141" s="17"/>
      <c r="W141" s="16" t="e">
        <f t="shared" si="9"/>
        <v>#DIV/0!</v>
      </c>
      <c r="X141" s="16" t="e">
        <f t="shared" si="10"/>
        <v>#DIV/0!</v>
      </c>
      <c r="Y141" s="1">
        <f t="shared" si="11"/>
        <v>3</v>
      </c>
    </row>
    <row r="142" spans="1:25" x14ac:dyDescent="0.2">
      <c r="A142" s="15">
        <v>45970.395833333336</v>
      </c>
      <c r="B142" t="s">
        <v>28</v>
      </c>
      <c r="C142">
        <v>31</v>
      </c>
      <c r="D142" t="s">
        <v>32</v>
      </c>
      <c r="E142">
        <v>25</v>
      </c>
      <c r="F142">
        <f t="shared" si="8"/>
        <v>6</v>
      </c>
      <c r="G142">
        <v>0</v>
      </c>
      <c r="H142" s="16"/>
      <c r="I142" s="16"/>
      <c r="J142" s="16"/>
      <c r="K142" s="16"/>
      <c r="L142" s="17"/>
      <c r="W142" s="16" t="e">
        <f t="shared" si="9"/>
        <v>#DIV/0!</v>
      </c>
      <c r="X142" s="16" t="e">
        <f t="shared" si="10"/>
        <v>#DIV/0!</v>
      </c>
      <c r="Y142" s="1">
        <f t="shared" si="11"/>
        <v>6</v>
      </c>
    </row>
    <row r="143" spans="1:25" x14ac:dyDescent="0.2">
      <c r="A143" s="15">
        <v>45970.541666666664</v>
      </c>
      <c r="B143" t="s">
        <v>52</v>
      </c>
      <c r="C143">
        <v>24</v>
      </c>
      <c r="D143" t="s">
        <v>31</v>
      </c>
      <c r="E143">
        <v>20</v>
      </c>
      <c r="F143">
        <f t="shared" si="8"/>
        <v>4</v>
      </c>
      <c r="G143">
        <v>0</v>
      </c>
      <c r="H143" s="16"/>
      <c r="I143" s="16"/>
      <c r="J143" s="16"/>
      <c r="K143" s="16"/>
      <c r="L143" s="17"/>
      <c r="W143" s="16" t="e">
        <f t="shared" si="9"/>
        <v>#DIV/0!</v>
      </c>
      <c r="X143" s="16" t="e">
        <f t="shared" si="10"/>
        <v>#DIV/0!</v>
      </c>
      <c r="Y143" s="1">
        <f t="shared" si="11"/>
        <v>4</v>
      </c>
    </row>
    <row r="144" spans="1:25" x14ac:dyDescent="0.2">
      <c r="A144" s="15">
        <v>45970.541666666664</v>
      </c>
      <c r="B144" t="s">
        <v>33</v>
      </c>
      <c r="C144">
        <v>23</v>
      </c>
      <c r="D144" t="s">
        <v>38</v>
      </c>
      <c r="E144">
        <v>28</v>
      </c>
      <c r="F144">
        <f t="shared" si="8"/>
        <v>-5</v>
      </c>
      <c r="G144">
        <v>0</v>
      </c>
      <c r="H144" s="16"/>
      <c r="I144" s="16"/>
      <c r="J144" s="16"/>
      <c r="K144" s="16"/>
      <c r="L144" s="17"/>
      <c r="W144" s="16" t="e">
        <f t="shared" si="9"/>
        <v>#DIV/0!</v>
      </c>
      <c r="X144" s="16" t="e">
        <f t="shared" si="10"/>
        <v>#DIV/0!</v>
      </c>
      <c r="Y144" s="1">
        <f t="shared" si="11"/>
        <v>-5</v>
      </c>
    </row>
    <row r="145" spans="1:25" x14ac:dyDescent="0.2">
      <c r="A145" s="15">
        <v>45970.541666666664</v>
      </c>
      <c r="B145" t="s">
        <v>29</v>
      </c>
      <c r="C145">
        <v>30</v>
      </c>
      <c r="D145" t="s">
        <v>50</v>
      </c>
      <c r="E145">
        <v>13</v>
      </c>
      <c r="F145">
        <f t="shared" si="8"/>
        <v>17</v>
      </c>
      <c r="G145">
        <v>0</v>
      </c>
      <c r="H145" s="16"/>
      <c r="I145" s="16"/>
      <c r="J145" s="16"/>
      <c r="K145" s="16"/>
      <c r="L145" s="17"/>
      <c r="W145" s="16" t="e">
        <f t="shared" si="9"/>
        <v>#DIV/0!</v>
      </c>
      <c r="X145" s="16" t="e">
        <f t="shared" si="10"/>
        <v>#DIV/0!</v>
      </c>
      <c r="Y145" s="1">
        <f t="shared" si="11"/>
        <v>17</v>
      </c>
    </row>
    <row r="146" spans="1:25" x14ac:dyDescent="0.2">
      <c r="A146" s="15">
        <v>45970.541666666664</v>
      </c>
      <c r="B146" t="s">
        <v>36</v>
      </c>
      <c r="C146">
        <v>27</v>
      </c>
      <c r="D146" t="s">
        <v>26</v>
      </c>
      <c r="E146">
        <v>20</v>
      </c>
      <c r="F146">
        <f t="shared" si="8"/>
        <v>7</v>
      </c>
      <c r="G146">
        <v>0</v>
      </c>
      <c r="H146" s="16"/>
      <c r="I146" s="16"/>
      <c r="J146" s="16"/>
      <c r="K146" s="16"/>
      <c r="L146" s="17"/>
      <c r="W146" s="16" t="e">
        <f t="shared" si="9"/>
        <v>#DIV/0!</v>
      </c>
      <c r="X146" s="16" t="e">
        <f t="shared" si="10"/>
        <v>#DIV/0!</v>
      </c>
      <c r="Y146" s="1">
        <f t="shared" si="11"/>
        <v>7</v>
      </c>
    </row>
    <row r="147" spans="1:25" x14ac:dyDescent="0.2">
      <c r="A147" s="15">
        <v>45970.541666666664</v>
      </c>
      <c r="B147" t="s">
        <v>35</v>
      </c>
      <c r="C147">
        <v>7</v>
      </c>
      <c r="D147" t="s">
        <v>40</v>
      </c>
      <c r="E147">
        <v>17</v>
      </c>
      <c r="F147">
        <f t="shared" si="8"/>
        <v>-10</v>
      </c>
      <c r="G147">
        <v>0</v>
      </c>
      <c r="H147" s="16"/>
      <c r="I147" s="16"/>
      <c r="J147" s="16"/>
      <c r="K147" s="16"/>
      <c r="L147" s="17"/>
      <c r="W147" s="16" t="e">
        <f t="shared" si="9"/>
        <v>#DIV/0!</v>
      </c>
      <c r="X147" s="16" t="e">
        <f t="shared" si="10"/>
        <v>#DIV/0!</v>
      </c>
      <c r="Y147" s="1">
        <f t="shared" si="11"/>
        <v>-10</v>
      </c>
    </row>
    <row r="148" spans="1:25" x14ac:dyDescent="0.2">
      <c r="A148" s="15">
        <v>45970.541666666664</v>
      </c>
      <c r="B148" t="s">
        <v>49</v>
      </c>
      <c r="C148">
        <v>36</v>
      </c>
      <c r="D148" t="s">
        <v>34</v>
      </c>
      <c r="E148">
        <v>29</v>
      </c>
      <c r="F148">
        <f t="shared" si="8"/>
        <v>7</v>
      </c>
      <c r="G148">
        <v>0</v>
      </c>
      <c r="H148" s="16"/>
      <c r="I148" s="16"/>
      <c r="J148" s="16"/>
      <c r="K148" s="16"/>
      <c r="L148" s="17"/>
      <c r="W148" s="16" t="e">
        <f t="shared" si="9"/>
        <v>#DIV/0!</v>
      </c>
      <c r="X148" s="16" t="e">
        <f t="shared" si="10"/>
        <v>#DIV/0!</v>
      </c>
      <c r="Y148" s="1">
        <f t="shared" si="11"/>
        <v>7</v>
      </c>
    </row>
    <row r="149" spans="1:25" x14ac:dyDescent="0.2">
      <c r="A149" s="15">
        <v>45970.541666666664</v>
      </c>
      <c r="B149" t="s">
        <v>53</v>
      </c>
      <c r="C149">
        <v>19</v>
      </c>
      <c r="D149" t="s">
        <v>51</v>
      </c>
      <c r="E149">
        <v>27</v>
      </c>
      <c r="F149">
        <f t="shared" si="8"/>
        <v>-8</v>
      </c>
      <c r="G149">
        <v>0</v>
      </c>
      <c r="H149" s="16"/>
      <c r="I149" s="16"/>
      <c r="J149" s="16"/>
      <c r="K149" s="16"/>
      <c r="L149" s="17"/>
      <c r="W149" s="16" t="e">
        <f t="shared" si="9"/>
        <v>#DIV/0!</v>
      </c>
      <c r="X149" s="16" t="e">
        <f t="shared" si="10"/>
        <v>#DIV/0!</v>
      </c>
      <c r="Y149" s="1">
        <f t="shared" si="11"/>
        <v>-8</v>
      </c>
    </row>
    <row r="150" spans="1:25" x14ac:dyDescent="0.2">
      <c r="A150" s="15">
        <v>45970.670138888891</v>
      </c>
      <c r="B150" t="s">
        <v>44</v>
      </c>
      <c r="C150">
        <v>44</v>
      </c>
      <c r="D150" t="s">
        <v>41</v>
      </c>
      <c r="E150">
        <v>22</v>
      </c>
      <c r="F150">
        <f t="shared" si="8"/>
        <v>22</v>
      </c>
      <c r="G150">
        <v>0</v>
      </c>
      <c r="H150" s="16"/>
      <c r="I150" s="16"/>
      <c r="J150" s="16"/>
      <c r="K150" s="16"/>
      <c r="L150" s="17"/>
      <c r="W150" s="16" t="e">
        <f t="shared" si="9"/>
        <v>#DIV/0!</v>
      </c>
      <c r="X150" s="16" t="e">
        <f t="shared" si="10"/>
        <v>#DIV/0!</v>
      </c>
      <c r="Y150" s="1">
        <f t="shared" si="11"/>
        <v>22</v>
      </c>
    </row>
    <row r="151" spans="1:25" x14ac:dyDescent="0.2">
      <c r="A151" s="15">
        <v>45970.684027777781</v>
      </c>
      <c r="B151" t="s">
        <v>45</v>
      </c>
      <c r="C151">
        <v>26</v>
      </c>
      <c r="D151" t="s">
        <v>48</v>
      </c>
      <c r="E151">
        <v>42</v>
      </c>
      <c r="F151">
        <f t="shared" si="8"/>
        <v>-16</v>
      </c>
      <c r="G151">
        <v>0</v>
      </c>
      <c r="H151" s="16"/>
      <c r="I151" s="16"/>
      <c r="J151" s="16"/>
      <c r="K151" s="16"/>
      <c r="L151" s="17"/>
      <c r="W151" s="16" t="e">
        <f t="shared" si="9"/>
        <v>#DIV/0!</v>
      </c>
      <c r="X151" s="16" t="e">
        <f t="shared" si="10"/>
        <v>#DIV/0!</v>
      </c>
      <c r="Y151" s="1">
        <f t="shared" si="11"/>
        <v>-16</v>
      </c>
    </row>
    <row r="152" spans="1:25" x14ac:dyDescent="0.2">
      <c r="A152" s="15">
        <v>45970.684027777781</v>
      </c>
      <c r="B152" t="s">
        <v>30</v>
      </c>
      <c r="C152">
        <v>22</v>
      </c>
      <c r="D152" t="s">
        <v>47</v>
      </c>
      <c r="E152">
        <v>44</v>
      </c>
      <c r="F152">
        <f t="shared" si="8"/>
        <v>-22</v>
      </c>
      <c r="G152">
        <v>0</v>
      </c>
      <c r="H152" s="16"/>
      <c r="I152" s="16"/>
      <c r="J152" s="16"/>
      <c r="K152" s="16"/>
      <c r="L152" s="17"/>
      <c r="W152" s="16" t="e">
        <f t="shared" si="9"/>
        <v>#DIV/0!</v>
      </c>
      <c r="X152" s="16" t="e">
        <f t="shared" si="10"/>
        <v>#DIV/0!</v>
      </c>
      <c r="Y152" s="1">
        <f t="shared" si="11"/>
        <v>-22</v>
      </c>
    </row>
    <row r="153" spans="1:25" x14ac:dyDescent="0.2">
      <c r="A153" s="15">
        <v>45970.847222222219</v>
      </c>
      <c r="B153" t="s">
        <v>24</v>
      </c>
      <c r="C153">
        <v>25</v>
      </c>
      <c r="D153" t="s">
        <v>37</v>
      </c>
      <c r="E153">
        <v>10</v>
      </c>
      <c r="F153">
        <f t="shared" si="8"/>
        <v>15</v>
      </c>
      <c r="G153">
        <v>0</v>
      </c>
      <c r="H153" s="16"/>
      <c r="I153" s="16"/>
      <c r="J153" s="16"/>
      <c r="K153" s="16"/>
      <c r="L153" s="17"/>
      <c r="W153" s="16" t="e">
        <f t="shared" si="9"/>
        <v>#DIV/0!</v>
      </c>
      <c r="X153" s="16" t="e">
        <f t="shared" si="10"/>
        <v>#DIV/0!</v>
      </c>
      <c r="Y153" s="1">
        <f t="shared" si="11"/>
        <v>15</v>
      </c>
    </row>
    <row r="154" spans="1:25" x14ac:dyDescent="0.2">
      <c r="A154" s="15">
        <v>45971.84375</v>
      </c>
      <c r="B154" t="s">
        <v>46</v>
      </c>
      <c r="C154">
        <v>7</v>
      </c>
      <c r="D154" t="s">
        <v>22</v>
      </c>
      <c r="E154">
        <v>10</v>
      </c>
      <c r="F154">
        <f t="shared" si="8"/>
        <v>-3</v>
      </c>
      <c r="G154">
        <v>0</v>
      </c>
      <c r="H154" s="16"/>
      <c r="I154" s="16"/>
      <c r="J154" s="16"/>
      <c r="K154" s="16"/>
      <c r="L154" s="17"/>
      <c r="W154" s="16" t="e">
        <f t="shared" si="9"/>
        <v>#DIV/0!</v>
      </c>
      <c r="X154" s="16" t="e">
        <f t="shared" si="10"/>
        <v>#DIV/0!</v>
      </c>
      <c r="Y154" s="1">
        <f t="shared" si="11"/>
        <v>-3</v>
      </c>
    </row>
    <row r="155" spans="1:25" x14ac:dyDescent="0.2">
      <c r="A155" s="15">
        <v>45974.84375</v>
      </c>
      <c r="B155" t="s">
        <v>38</v>
      </c>
      <c r="C155">
        <v>27</v>
      </c>
      <c r="D155" t="s">
        <v>36</v>
      </c>
      <c r="E155">
        <v>14</v>
      </c>
      <c r="F155">
        <f t="shared" si="8"/>
        <v>13</v>
      </c>
      <c r="G155">
        <v>0</v>
      </c>
      <c r="H155" s="16"/>
      <c r="I155" s="16"/>
      <c r="J155" s="16"/>
      <c r="K155" s="16"/>
      <c r="L155" s="17"/>
      <c r="W155" s="16" t="e">
        <f t="shared" si="9"/>
        <v>#DIV/0!</v>
      </c>
      <c r="X155" s="16" t="e">
        <f t="shared" si="10"/>
        <v>#DIV/0!</v>
      </c>
      <c r="Y155" s="1">
        <f t="shared" si="11"/>
        <v>13</v>
      </c>
    </row>
    <row r="156" spans="1:25" x14ac:dyDescent="0.2">
      <c r="A156" s="15">
        <v>45977.395833333336</v>
      </c>
      <c r="B156" t="s">
        <v>29</v>
      </c>
      <c r="C156">
        <v>16</v>
      </c>
      <c r="D156" t="s">
        <v>30</v>
      </c>
      <c r="E156">
        <v>13</v>
      </c>
      <c r="F156">
        <f t="shared" si="8"/>
        <v>3</v>
      </c>
      <c r="G156">
        <v>0</v>
      </c>
      <c r="H156" s="16"/>
      <c r="I156" s="16"/>
      <c r="J156" s="16"/>
      <c r="K156" s="16"/>
      <c r="L156" s="17"/>
      <c r="W156" s="16" t="e">
        <f t="shared" si="9"/>
        <v>#DIV/0!</v>
      </c>
      <c r="X156" s="16" t="e">
        <f t="shared" si="10"/>
        <v>#DIV/0!</v>
      </c>
      <c r="Y156" s="1">
        <f t="shared" si="11"/>
        <v>3</v>
      </c>
    </row>
    <row r="157" spans="1:25" x14ac:dyDescent="0.2">
      <c r="A157" s="15">
        <v>45977.541666666664</v>
      </c>
      <c r="B157" t="s">
        <v>50</v>
      </c>
      <c r="C157">
        <v>44</v>
      </c>
      <c r="D157" t="s">
        <v>33</v>
      </c>
      <c r="E157">
        <v>32</v>
      </c>
      <c r="F157">
        <f t="shared" si="8"/>
        <v>12</v>
      </c>
      <c r="G157">
        <v>0</v>
      </c>
      <c r="H157" s="16"/>
      <c r="I157" s="16"/>
      <c r="J157" s="16"/>
      <c r="K157" s="16"/>
      <c r="L157" s="17"/>
      <c r="W157" s="16" t="e">
        <f t="shared" si="9"/>
        <v>#DIV/0!</v>
      </c>
      <c r="X157" s="16" t="e">
        <f t="shared" si="10"/>
        <v>#DIV/0!</v>
      </c>
      <c r="Y157" s="1">
        <f t="shared" si="11"/>
        <v>12</v>
      </c>
    </row>
    <row r="158" spans="1:25" x14ac:dyDescent="0.2">
      <c r="A158" s="15">
        <v>45977.541666666664</v>
      </c>
      <c r="B158" t="s">
        <v>32</v>
      </c>
      <c r="C158">
        <v>27</v>
      </c>
      <c r="D158" t="s">
        <v>35</v>
      </c>
      <c r="E158">
        <v>30</v>
      </c>
      <c r="F158">
        <f t="shared" si="8"/>
        <v>-3</v>
      </c>
      <c r="G158">
        <v>0</v>
      </c>
      <c r="H158" s="16"/>
      <c r="I158" s="16"/>
      <c r="J158" s="16"/>
      <c r="K158" s="16"/>
      <c r="L158" s="17"/>
      <c r="W158" s="16" t="e">
        <f t="shared" si="9"/>
        <v>#DIV/0!</v>
      </c>
      <c r="X158" s="16" t="e">
        <f t="shared" si="10"/>
        <v>#DIV/0!</v>
      </c>
      <c r="Y158" s="1">
        <f t="shared" si="11"/>
        <v>-3</v>
      </c>
    </row>
    <row r="159" spans="1:25" x14ac:dyDescent="0.2">
      <c r="A159" s="15">
        <v>45977.541666666664</v>
      </c>
      <c r="B159" t="s">
        <v>31</v>
      </c>
      <c r="C159">
        <v>20</v>
      </c>
      <c r="D159" t="s">
        <v>46</v>
      </c>
      <c r="E159">
        <v>27</v>
      </c>
      <c r="F159">
        <f t="shared" si="8"/>
        <v>-7</v>
      </c>
      <c r="G159">
        <v>0</v>
      </c>
      <c r="H159" s="16"/>
      <c r="I159" s="16"/>
      <c r="J159" s="16"/>
      <c r="K159" s="16"/>
      <c r="L159" s="17"/>
      <c r="W159" s="16" t="e">
        <f t="shared" si="9"/>
        <v>#DIV/0!</v>
      </c>
      <c r="X159" s="16" t="e">
        <f t="shared" si="10"/>
        <v>#DIV/0!</v>
      </c>
      <c r="Y159" s="1">
        <f t="shared" si="11"/>
        <v>-7</v>
      </c>
    </row>
    <row r="160" spans="1:25" x14ac:dyDescent="0.2">
      <c r="A160" s="15">
        <v>45977.541666666664</v>
      </c>
      <c r="B160" t="s">
        <v>34</v>
      </c>
      <c r="C160">
        <v>35</v>
      </c>
      <c r="D160" t="s">
        <v>24</v>
      </c>
      <c r="E160">
        <v>6</v>
      </c>
      <c r="F160">
        <f t="shared" si="8"/>
        <v>29</v>
      </c>
      <c r="G160">
        <v>0</v>
      </c>
      <c r="H160" s="16"/>
      <c r="I160" s="16"/>
      <c r="J160" s="16"/>
      <c r="K160" s="16"/>
      <c r="L160" s="17"/>
      <c r="W160" s="16" t="e">
        <f t="shared" si="9"/>
        <v>#DIV/0!</v>
      </c>
      <c r="X160" s="16" t="e">
        <f t="shared" si="10"/>
        <v>#DIV/0!</v>
      </c>
      <c r="Y160" s="1">
        <f t="shared" si="11"/>
        <v>29</v>
      </c>
    </row>
    <row r="161" spans="1:25" x14ac:dyDescent="0.2">
      <c r="A161" s="15">
        <v>45977.541666666664</v>
      </c>
      <c r="B161" t="s">
        <v>37</v>
      </c>
      <c r="C161">
        <v>34</v>
      </c>
      <c r="D161" t="s">
        <v>27</v>
      </c>
      <c r="E161">
        <v>12</v>
      </c>
      <c r="F161">
        <f t="shared" si="8"/>
        <v>22</v>
      </c>
      <c r="G161">
        <v>0</v>
      </c>
      <c r="H161" s="16"/>
      <c r="I161" s="16"/>
      <c r="J161" s="16"/>
      <c r="K161" s="16"/>
      <c r="L161" s="17"/>
      <c r="W161" s="16" t="e">
        <f t="shared" si="9"/>
        <v>#DIV/0!</v>
      </c>
      <c r="X161" s="16" t="e">
        <f t="shared" si="10"/>
        <v>#DIV/0!</v>
      </c>
      <c r="Y161" s="1">
        <f t="shared" si="11"/>
        <v>22</v>
      </c>
    </row>
    <row r="162" spans="1:25" x14ac:dyDescent="0.2">
      <c r="A162" s="15">
        <v>45977.541666666664</v>
      </c>
      <c r="B162" t="s">
        <v>43</v>
      </c>
      <c r="C162">
        <v>13</v>
      </c>
      <c r="D162" t="s">
        <v>49</v>
      </c>
      <c r="E162">
        <v>16</v>
      </c>
      <c r="F162">
        <f t="shared" si="8"/>
        <v>-3</v>
      </c>
      <c r="G162">
        <v>0</v>
      </c>
      <c r="H162" s="16"/>
      <c r="I162" s="16"/>
      <c r="J162" s="16"/>
      <c r="K162" s="16"/>
      <c r="L162" s="17"/>
      <c r="W162" s="16" t="e">
        <f t="shared" si="9"/>
        <v>#DIV/0!</v>
      </c>
      <c r="X162" s="16" t="e">
        <f t="shared" si="10"/>
        <v>#DIV/0!</v>
      </c>
      <c r="Y162" s="1">
        <f t="shared" si="11"/>
        <v>-3</v>
      </c>
    </row>
    <row r="163" spans="1:25" x14ac:dyDescent="0.2">
      <c r="A163" s="15">
        <v>45977.541666666664</v>
      </c>
      <c r="B163" t="s">
        <v>53</v>
      </c>
      <c r="C163">
        <v>17</v>
      </c>
      <c r="D163" t="s">
        <v>52</v>
      </c>
      <c r="E163">
        <v>19</v>
      </c>
      <c r="F163">
        <f t="shared" si="8"/>
        <v>-2</v>
      </c>
      <c r="G163">
        <v>0</v>
      </c>
      <c r="H163" s="16"/>
      <c r="I163" s="16"/>
      <c r="J163" s="16"/>
      <c r="K163" s="16"/>
      <c r="L163" s="17"/>
      <c r="W163" s="16" t="e">
        <f t="shared" si="9"/>
        <v>#DIV/0!</v>
      </c>
      <c r="X163" s="16" t="e">
        <f t="shared" si="10"/>
        <v>#DIV/0!</v>
      </c>
      <c r="Y163" s="1">
        <f t="shared" si="11"/>
        <v>-2</v>
      </c>
    </row>
    <row r="164" spans="1:25" x14ac:dyDescent="0.2">
      <c r="A164" s="15">
        <v>45977.670138888891</v>
      </c>
      <c r="B164" t="s">
        <v>41</v>
      </c>
      <c r="C164">
        <v>22</v>
      </c>
      <c r="D164" t="s">
        <v>45</v>
      </c>
      <c r="E164">
        <v>41</v>
      </c>
      <c r="F164">
        <f t="shared" si="8"/>
        <v>-19</v>
      </c>
      <c r="G164">
        <v>0</v>
      </c>
      <c r="H164" s="16"/>
      <c r="I164" s="16"/>
      <c r="J164" s="16"/>
      <c r="K164" s="16"/>
      <c r="L164" s="17"/>
      <c r="W164" s="16" t="e">
        <f t="shared" si="9"/>
        <v>#DIV/0!</v>
      </c>
      <c r="X164" s="16" t="e">
        <f t="shared" si="10"/>
        <v>#DIV/0!</v>
      </c>
      <c r="Y164" s="1">
        <f t="shared" si="11"/>
        <v>-19</v>
      </c>
    </row>
    <row r="165" spans="1:25" x14ac:dyDescent="0.2">
      <c r="A165" s="15">
        <v>45977.670138888891</v>
      </c>
      <c r="B165" t="s">
        <v>48</v>
      </c>
      <c r="C165">
        <v>21</v>
      </c>
      <c r="D165" t="s">
        <v>44</v>
      </c>
      <c r="E165">
        <v>19</v>
      </c>
      <c r="F165">
        <f t="shared" si="8"/>
        <v>2</v>
      </c>
      <c r="G165">
        <v>0</v>
      </c>
      <c r="H165" s="16"/>
      <c r="I165" s="16"/>
      <c r="J165" s="16"/>
      <c r="K165" s="16"/>
      <c r="L165" s="17"/>
      <c r="W165" s="16" t="e">
        <f t="shared" si="9"/>
        <v>#DIV/0!</v>
      </c>
      <c r="X165" s="16" t="e">
        <f t="shared" si="10"/>
        <v>#DIV/0!</v>
      </c>
      <c r="Y165" s="1">
        <f t="shared" si="11"/>
        <v>2</v>
      </c>
    </row>
    <row r="166" spans="1:25" x14ac:dyDescent="0.2">
      <c r="A166" s="15">
        <v>45977.684027777781</v>
      </c>
      <c r="B166" t="s">
        <v>42</v>
      </c>
      <c r="C166">
        <v>22</v>
      </c>
      <c r="D166" t="s">
        <v>25</v>
      </c>
      <c r="E166">
        <v>19</v>
      </c>
      <c r="F166">
        <f t="shared" si="8"/>
        <v>3</v>
      </c>
      <c r="G166">
        <v>0</v>
      </c>
      <c r="H166" s="16"/>
      <c r="I166" s="16"/>
      <c r="J166" s="16"/>
      <c r="K166" s="16"/>
      <c r="L166" s="17"/>
      <c r="W166" s="16" t="e">
        <f t="shared" si="9"/>
        <v>#DIV/0!</v>
      </c>
      <c r="X166" s="16" t="e">
        <f t="shared" si="10"/>
        <v>#DIV/0!</v>
      </c>
      <c r="Y166" s="1">
        <f t="shared" si="11"/>
        <v>3</v>
      </c>
    </row>
    <row r="167" spans="1:25" x14ac:dyDescent="0.2">
      <c r="A167" s="15">
        <v>45977.684027777781</v>
      </c>
      <c r="B167" t="s">
        <v>26</v>
      </c>
      <c r="C167">
        <v>16</v>
      </c>
      <c r="D167" t="s">
        <v>51</v>
      </c>
      <c r="E167">
        <v>23</v>
      </c>
      <c r="F167">
        <f t="shared" si="8"/>
        <v>-7</v>
      </c>
      <c r="G167">
        <v>0</v>
      </c>
      <c r="H167" s="16"/>
      <c r="I167" s="16"/>
      <c r="J167" s="16"/>
      <c r="K167" s="16"/>
      <c r="L167" s="17"/>
      <c r="W167" s="16" t="e">
        <f t="shared" si="9"/>
        <v>#DIV/0!</v>
      </c>
      <c r="X167" s="16" t="e">
        <f t="shared" si="10"/>
        <v>#DIV/0!</v>
      </c>
      <c r="Y167" s="1">
        <f t="shared" si="11"/>
        <v>-7</v>
      </c>
    </row>
    <row r="168" spans="1:25" x14ac:dyDescent="0.2">
      <c r="A168" s="15">
        <v>45977.847222222219</v>
      </c>
      <c r="B168" t="s">
        <v>22</v>
      </c>
      <c r="C168">
        <v>16</v>
      </c>
      <c r="D168" t="s">
        <v>47</v>
      </c>
      <c r="E168">
        <v>9</v>
      </c>
      <c r="F168">
        <f t="shared" si="8"/>
        <v>7</v>
      </c>
      <c r="G168">
        <v>0</v>
      </c>
      <c r="H168" s="16"/>
      <c r="I168" s="16"/>
      <c r="J168" s="16"/>
      <c r="K168" s="16"/>
      <c r="L168" s="17"/>
      <c r="W168" s="16" t="e">
        <f t="shared" si="9"/>
        <v>#DIV/0!</v>
      </c>
      <c r="X168" s="16" t="e">
        <f t="shared" si="10"/>
        <v>#DIV/0!</v>
      </c>
      <c r="Y168" s="1">
        <f t="shared" si="11"/>
        <v>7</v>
      </c>
    </row>
    <row r="169" spans="1:25" x14ac:dyDescent="0.2">
      <c r="A169" s="15">
        <v>45978.84375</v>
      </c>
      <c r="B169" t="s">
        <v>39</v>
      </c>
      <c r="C169">
        <v>16</v>
      </c>
      <c r="D169" t="s">
        <v>23</v>
      </c>
      <c r="E169">
        <v>33</v>
      </c>
      <c r="F169">
        <f t="shared" si="8"/>
        <v>-17</v>
      </c>
      <c r="G169">
        <v>0</v>
      </c>
      <c r="H169" s="16"/>
      <c r="I169" s="16"/>
      <c r="J169" s="16"/>
      <c r="K169" s="16"/>
      <c r="L169" s="17"/>
      <c r="W169" s="16" t="e">
        <f t="shared" si="9"/>
        <v>#DIV/0!</v>
      </c>
      <c r="X169" s="16" t="e">
        <f t="shared" si="10"/>
        <v>#DIV/0!</v>
      </c>
      <c r="Y169" s="1">
        <f t="shared" si="11"/>
        <v>-17</v>
      </c>
    </row>
    <row r="170" spans="1:25" x14ac:dyDescent="0.2">
      <c r="A170" s="15">
        <v>45981.84375</v>
      </c>
      <c r="B170" t="s">
        <v>49</v>
      </c>
      <c r="C170">
        <v>23</v>
      </c>
      <c r="D170" t="s">
        <v>50</v>
      </c>
      <c r="E170">
        <v>19</v>
      </c>
      <c r="F170">
        <f t="shared" si="8"/>
        <v>4</v>
      </c>
      <c r="G170">
        <v>0</v>
      </c>
      <c r="H170" s="16"/>
      <c r="I170" s="16"/>
      <c r="J170" s="16"/>
      <c r="K170" s="16"/>
      <c r="L170" s="17"/>
      <c r="W170" s="16" t="e">
        <f t="shared" si="9"/>
        <v>#DIV/0!</v>
      </c>
      <c r="X170" s="16" t="e">
        <f t="shared" si="10"/>
        <v>#DIV/0!</v>
      </c>
      <c r="Y170" s="1">
        <f t="shared" si="11"/>
        <v>4</v>
      </c>
    </row>
    <row r="171" spans="1:25" x14ac:dyDescent="0.2">
      <c r="A171" s="15">
        <v>45984.541666666664</v>
      </c>
      <c r="B171" t="s">
        <v>52</v>
      </c>
      <c r="C171">
        <v>31</v>
      </c>
      <c r="D171" t="s">
        <v>37</v>
      </c>
      <c r="E171">
        <v>28</v>
      </c>
      <c r="F171">
        <f t="shared" si="8"/>
        <v>3</v>
      </c>
      <c r="G171">
        <v>0</v>
      </c>
      <c r="H171" s="16"/>
      <c r="I171" s="16"/>
      <c r="J171" s="16"/>
      <c r="K171" s="16"/>
      <c r="L171" s="17"/>
      <c r="W171" s="16" t="e">
        <f t="shared" si="9"/>
        <v>#DIV/0!</v>
      </c>
      <c r="X171" s="16" t="e">
        <f t="shared" si="10"/>
        <v>#DIV/0!</v>
      </c>
      <c r="Y171" s="1">
        <f t="shared" si="11"/>
        <v>3</v>
      </c>
    </row>
    <row r="172" spans="1:25" x14ac:dyDescent="0.2">
      <c r="A172" s="15">
        <v>45984.541666666664</v>
      </c>
      <c r="B172" t="s">
        <v>27</v>
      </c>
      <c r="C172">
        <v>20</v>
      </c>
      <c r="D172" t="s">
        <v>38</v>
      </c>
      <c r="E172">
        <v>26</v>
      </c>
      <c r="F172">
        <f t="shared" si="8"/>
        <v>-6</v>
      </c>
      <c r="G172">
        <v>0</v>
      </c>
      <c r="H172" s="16"/>
      <c r="I172" s="16"/>
      <c r="J172" s="16"/>
      <c r="K172" s="16"/>
      <c r="L172" s="17"/>
      <c r="W172" s="16" t="e">
        <f t="shared" si="9"/>
        <v>#DIV/0!</v>
      </c>
      <c r="X172" s="16" t="e">
        <f t="shared" si="10"/>
        <v>#DIV/0!</v>
      </c>
      <c r="Y172" s="1">
        <f t="shared" si="11"/>
        <v>-6</v>
      </c>
    </row>
    <row r="173" spans="1:25" x14ac:dyDescent="0.2">
      <c r="A173" s="15">
        <v>45984.541666666664</v>
      </c>
      <c r="B173" t="s">
        <v>25</v>
      </c>
      <c r="C173">
        <v>23</v>
      </c>
      <c r="D173" t="s">
        <v>28</v>
      </c>
      <c r="E173">
        <v>20</v>
      </c>
      <c r="F173">
        <f t="shared" si="8"/>
        <v>3</v>
      </c>
      <c r="G173">
        <v>0</v>
      </c>
      <c r="H173" s="16"/>
      <c r="I173" s="16"/>
      <c r="J173" s="16"/>
      <c r="K173" s="16"/>
      <c r="L173" s="17"/>
      <c r="W173" s="16" t="e">
        <f t="shared" si="9"/>
        <v>#DIV/0!</v>
      </c>
      <c r="X173" s="16" t="e">
        <f t="shared" si="10"/>
        <v>#DIV/0!</v>
      </c>
      <c r="Y173" s="1">
        <f t="shared" si="11"/>
        <v>3</v>
      </c>
    </row>
    <row r="174" spans="1:25" x14ac:dyDescent="0.2">
      <c r="A174" s="15">
        <v>45984.541666666664</v>
      </c>
      <c r="B174" t="s">
        <v>47</v>
      </c>
      <c r="C174">
        <v>34</v>
      </c>
      <c r="D174" t="s">
        <v>31</v>
      </c>
      <c r="E174">
        <v>27</v>
      </c>
      <c r="F174">
        <f t="shared" si="8"/>
        <v>7</v>
      </c>
      <c r="G174">
        <v>0</v>
      </c>
      <c r="H174" s="16"/>
      <c r="I174" s="16"/>
      <c r="J174" s="16"/>
      <c r="K174" s="16"/>
      <c r="L174" s="17"/>
      <c r="W174" s="16" t="e">
        <f t="shared" si="9"/>
        <v>#DIV/0!</v>
      </c>
      <c r="X174" s="16" t="e">
        <f t="shared" si="10"/>
        <v>#DIV/0!</v>
      </c>
      <c r="Y174" s="1">
        <f t="shared" si="11"/>
        <v>7</v>
      </c>
    </row>
    <row r="175" spans="1:25" x14ac:dyDescent="0.2">
      <c r="A175" s="15">
        <v>45984.541666666664</v>
      </c>
      <c r="B175" t="s">
        <v>46</v>
      </c>
      <c r="C175">
        <v>23</v>
      </c>
      <c r="D175" t="s">
        <v>53</v>
      </c>
      <c r="E175">
        <v>6</v>
      </c>
      <c r="F175">
        <f t="shared" si="8"/>
        <v>17</v>
      </c>
      <c r="G175">
        <v>0</v>
      </c>
      <c r="H175" s="16"/>
      <c r="I175" s="16"/>
      <c r="J175" s="16"/>
      <c r="K175" s="16"/>
      <c r="L175" s="17"/>
      <c r="W175" s="16" t="e">
        <f t="shared" si="9"/>
        <v>#DIV/0!</v>
      </c>
      <c r="X175" s="16" t="e">
        <f t="shared" si="10"/>
        <v>#DIV/0!</v>
      </c>
      <c r="Y175" s="1">
        <f t="shared" si="11"/>
        <v>17</v>
      </c>
    </row>
    <row r="176" spans="1:25" x14ac:dyDescent="0.2">
      <c r="A176" s="15">
        <v>45984.541666666664</v>
      </c>
      <c r="B176" t="s">
        <v>51</v>
      </c>
      <c r="C176">
        <v>23</v>
      </c>
      <c r="D176" t="s">
        <v>36</v>
      </c>
      <c r="E176">
        <v>10</v>
      </c>
      <c r="F176">
        <f t="shared" si="8"/>
        <v>13</v>
      </c>
      <c r="G176">
        <v>0</v>
      </c>
      <c r="H176" s="16"/>
      <c r="I176" s="16"/>
      <c r="J176" s="16"/>
      <c r="K176" s="16"/>
      <c r="L176" s="17"/>
      <c r="W176" s="16" t="e">
        <f t="shared" si="9"/>
        <v>#DIV/0!</v>
      </c>
      <c r="X176" s="16" t="e">
        <f t="shared" si="10"/>
        <v>#DIV/0!</v>
      </c>
      <c r="Y176" s="1">
        <f t="shared" si="11"/>
        <v>13</v>
      </c>
    </row>
    <row r="177" spans="1:25" x14ac:dyDescent="0.2">
      <c r="A177" s="15">
        <v>45984.541666666664</v>
      </c>
      <c r="B177" t="s">
        <v>43</v>
      </c>
      <c r="C177">
        <v>24</v>
      </c>
      <c r="D177" t="s">
        <v>44</v>
      </c>
      <c r="E177">
        <v>30</v>
      </c>
      <c r="F177">
        <f t="shared" si="8"/>
        <v>-6</v>
      </c>
      <c r="G177">
        <v>0</v>
      </c>
      <c r="H177" s="16"/>
      <c r="I177" s="16"/>
      <c r="J177" s="16"/>
      <c r="K177" s="16"/>
      <c r="L177" s="17"/>
      <c r="W177" s="16" t="e">
        <f t="shared" si="9"/>
        <v>#DIV/0!</v>
      </c>
      <c r="X177" s="16" t="e">
        <f t="shared" si="10"/>
        <v>#DIV/0!</v>
      </c>
      <c r="Y177" s="1">
        <f t="shared" si="11"/>
        <v>-6</v>
      </c>
    </row>
    <row r="178" spans="1:25" x14ac:dyDescent="0.2">
      <c r="A178" s="15">
        <v>45984.670138888891</v>
      </c>
      <c r="B178" t="s">
        <v>41</v>
      </c>
      <c r="C178">
        <v>24</v>
      </c>
      <c r="D178" t="s">
        <v>34</v>
      </c>
      <c r="E178">
        <v>27</v>
      </c>
      <c r="F178">
        <f t="shared" si="8"/>
        <v>-3</v>
      </c>
      <c r="G178">
        <v>0</v>
      </c>
      <c r="H178" s="16"/>
      <c r="I178" s="16"/>
      <c r="J178" s="16"/>
      <c r="K178" s="16"/>
      <c r="L178" s="17"/>
      <c r="W178" s="16" t="e">
        <f t="shared" si="9"/>
        <v>#DIV/0!</v>
      </c>
      <c r="X178" s="16" t="e">
        <f t="shared" si="10"/>
        <v>#DIV/0!</v>
      </c>
      <c r="Y178" s="1">
        <f t="shared" si="11"/>
        <v>-3</v>
      </c>
    </row>
    <row r="179" spans="1:25" x14ac:dyDescent="0.2">
      <c r="A179" s="15">
        <v>45984.670138888891</v>
      </c>
      <c r="B179" t="s">
        <v>39</v>
      </c>
      <c r="C179">
        <v>10</v>
      </c>
      <c r="D179" t="s">
        <v>26</v>
      </c>
      <c r="E179">
        <v>24</v>
      </c>
      <c r="F179">
        <f t="shared" si="8"/>
        <v>-14</v>
      </c>
      <c r="G179">
        <v>0</v>
      </c>
      <c r="H179" s="16"/>
      <c r="I179" s="16"/>
      <c r="J179" s="16"/>
      <c r="K179" s="16"/>
      <c r="L179" s="17"/>
      <c r="W179" s="16" t="e">
        <f t="shared" si="9"/>
        <v>#DIV/0!</v>
      </c>
      <c r="X179" s="16" t="e">
        <f t="shared" si="10"/>
        <v>#DIV/0!</v>
      </c>
      <c r="Y179" s="1">
        <f t="shared" si="11"/>
        <v>-14</v>
      </c>
    </row>
    <row r="180" spans="1:25" x14ac:dyDescent="0.2">
      <c r="A180" s="15">
        <v>45984.684027777781</v>
      </c>
      <c r="B180" t="s">
        <v>23</v>
      </c>
      <c r="C180">
        <v>24</v>
      </c>
      <c r="D180" t="s">
        <v>22</v>
      </c>
      <c r="E180">
        <v>21</v>
      </c>
      <c r="F180">
        <f t="shared" si="8"/>
        <v>3</v>
      </c>
      <c r="G180">
        <v>0</v>
      </c>
      <c r="H180" s="16"/>
      <c r="I180" s="16"/>
      <c r="J180" s="16"/>
      <c r="K180" s="16"/>
      <c r="L180" s="17"/>
      <c r="W180" s="16" t="e">
        <f t="shared" si="9"/>
        <v>#DIV/0!</v>
      </c>
      <c r="X180" s="16" t="e">
        <f t="shared" si="10"/>
        <v>#DIV/0!</v>
      </c>
      <c r="Y180" s="1">
        <f t="shared" si="11"/>
        <v>3</v>
      </c>
    </row>
    <row r="181" spans="1:25" x14ac:dyDescent="0.2">
      <c r="A181" s="15">
        <v>45984.684027777781</v>
      </c>
      <c r="B181" t="s">
        <v>40</v>
      </c>
      <c r="C181">
        <v>10</v>
      </c>
      <c r="D181" t="s">
        <v>32</v>
      </c>
      <c r="E181">
        <v>24</v>
      </c>
      <c r="F181">
        <f t="shared" si="8"/>
        <v>-14</v>
      </c>
      <c r="G181">
        <v>0</v>
      </c>
      <c r="H181" s="16"/>
      <c r="I181" s="16"/>
      <c r="J181" s="16"/>
      <c r="K181" s="16"/>
      <c r="L181" s="17"/>
      <c r="W181" s="16" t="e">
        <f t="shared" si="9"/>
        <v>#DIV/0!</v>
      </c>
      <c r="X181" s="16" t="e">
        <f t="shared" si="10"/>
        <v>#DIV/0!</v>
      </c>
      <c r="Y181" s="1">
        <f t="shared" si="11"/>
        <v>-14</v>
      </c>
    </row>
    <row r="182" spans="1:25" x14ac:dyDescent="0.2">
      <c r="A182" s="15">
        <v>45984.847222222219</v>
      </c>
      <c r="B182" t="s">
        <v>48</v>
      </c>
      <c r="C182">
        <v>34</v>
      </c>
      <c r="D182" t="s">
        <v>33</v>
      </c>
      <c r="E182">
        <v>7</v>
      </c>
      <c r="F182">
        <f t="shared" si="8"/>
        <v>27</v>
      </c>
      <c r="G182">
        <v>0</v>
      </c>
      <c r="H182" s="16"/>
      <c r="I182" s="16"/>
      <c r="J182" s="16"/>
      <c r="K182" s="16"/>
      <c r="L182" s="17"/>
      <c r="W182" s="16" t="e">
        <f t="shared" si="9"/>
        <v>#DIV/0!</v>
      </c>
      <c r="X182" s="16" t="e">
        <f t="shared" si="10"/>
        <v>#DIV/0!</v>
      </c>
      <c r="Y182" s="1">
        <f t="shared" si="11"/>
        <v>27</v>
      </c>
    </row>
    <row r="183" spans="1:25" x14ac:dyDescent="0.2">
      <c r="A183" s="15">
        <v>45985.84375</v>
      </c>
      <c r="B183" t="s">
        <v>45</v>
      </c>
      <c r="C183">
        <v>20</v>
      </c>
      <c r="D183" t="s">
        <v>35</v>
      </c>
      <c r="E183">
        <v>9</v>
      </c>
      <c r="F183">
        <f t="shared" si="8"/>
        <v>11</v>
      </c>
      <c r="G183">
        <v>0</v>
      </c>
      <c r="H183" s="16"/>
      <c r="I183" s="16"/>
      <c r="J183" s="16"/>
      <c r="K183" s="16"/>
      <c r="L183" s="17"/>
      <c r="W183" s="16" t="e">
        <f t="shared" si="9"/>
        <v>#DIV/0!</v>
      </c>
      <c r="X183" s="16" t="e">
        <f t="shared" si="10"/>
        <v>#DIV/0!</v>
      </c>
      <c r="Y183" s="1">
        <f t="shared" si="11"/>
        <v>11</v>
      </c>
    </row>
    <row r="184" spans="1:25" x14ac:dyDescent="0.2">
      <c r="A184" s="15">
        <v>45988.541666666664</v>
      </c>
      <c r="B184" t="s">
        <v>47</v>
      </c>
      <c r="C184">
        <v>24</v>
      </c>
      <c r="D184" t="s">
        <v>46</v>
      </c>
      <c r="E184">
        <v>31</v>
      </c>
      <c r="F184">
        <f t="shared" si="8"/>
        <v>-7</v>
      </c>
      <c r="G184">
        <v>0</v>
      </c>
      <c r="H184" s="16"/>
      <c r="I184" s="16"/>
      <c r="J184" s="16"/>
      <c r="K184" s="16"/>
      <c r="L184" s="17"/>
      <c r="W184" s="16" t="e">
        <f t="shared" si="9"/>
        <v>#DIV/0!</v>
      </c>
      <c r="X184" s="16" t="e">
        <f t="shared" si="10"/>
        <v>#DIV/0!</v>
      </c>
      <c r="Y184" s="1">
        <f t="shared" si="11"/>
        <v>-7</v>
      </c>
    </row>
    <row r="185" spans="1:25" x14ac:dyDescent="0.2">
      <c r="A185" s="15">
        <v>45988.6875</v>
      </c>
      <c r="B185" t="s">
        <v>23</v>
      </c>
      <c r="C185">
        <v>31</v>
      </c>
      <c r="D185" t="s">
        <v>25</v>
      </c>
      <c r="E185">
        <v>28</v>
      </c>
      <c r="F185">
        <f t="shared" si="8"/>
        <v>3</v>
      </c>
      <c r="G185">
        <v>0</v>
      </c>
      <c r="H185" s="16"/>
      <c r="I185" s="16"/>
      <c r="J185" s="16"/>
      <c r="K185" s="16"/>
      <c r="L185" s="17"/>
      <c r="W185" s="16" t="e">
        <f t="shared" si="9"/>
        <v>#DIV/0!</v>
      </c>
      <c r="X185" s="16" t="e">
        <f t="shared" si="10"/>
        <v>#DIV/0!</v>
      </c>
      <c r="Y185" s="1">
        <f t="shared" si="11"/>
        <v>3</v>
      </c>
    </row>
    <row r="186" spans="1:25" x14ac:dyDescent="0.2">
      <c r="A186" s="15">
        <v>45988.847222222219</v>
      </c>
      <c r="B186" t="s">
        <v>51</v>
      </c>
      <c r="C186">
        <v>14</v>
      </c>
      <c r="D186" t="s">
        <v>27</v>
      </c>
      <c r="E186">
        <v>32</v>
      </c>
      <c r="F186">
        <f t="shared" si="8"/>
        <v>-18</v>
      </c>
      <c r="G186">
        <v>0</v>
      </c>
      <c r="H186" s="16"/>
      <c r="I186" s="16"/>
      <c r="J186" s="16"/>
      <c r="K186" s="16"/>
      <c r="L186" s="17"/>
      <c r="W186" s="16" t="e">
        <f t="shared" si="9"/>
        <v>#DIV/0!</v>
      </c>
      <c r="X186" s="16" t="e">
        <f t="shared" si="10"/>
        <v>#DIV/0!</v>
      </c>
      <c r="Y186" s="1">
        <f t="shared" si="11"/>
        <v>-18</v>
      </c>
    </row>
    <row r="187" spans="1:25" x14ac:dyDescent="0.2">
      <c r="A187" s="15">
        <v>45989.625</v>
      </c>
      <c r="B187" t="s">
        <v>22</v>
      </c>
      <c r="C187">
        <v>15</v>
      </c>
      <c r="D187" t="s">
        <v>52</v>
      </c>
      <c r="E187">
        <v>24</v>
      </c>
      <c r="F187">
        <f t="shared" si="8"/>
        <v>-9</v>
      </c>
      <c r="G187">
        <v>0</v>
      </c>
      <c r="H187" s="16"/>
      <c r="I187" s="16"/>
      <c r="J187" s="16"/>
      <c r="K187" s="16"/>
      <c r="L187" s="17"/>
      <c r="W187" s="16" t="e">
        <f t="shared" si="9"/>
        <v>#DIV/0!</v>
      </c>
      <c r="X187" s="16" t="e">
        <f t="shared" si="10"/>
        <v>#DIV/0!</v>
      </c>
      <c r="Y187" s="1">
        <f t="shared" si="11"/>
        <v>-9</v>
      </c>
    </row>
    <row r="188" spans="1:25" x14ac:dyDescent="0.2">
      <c r="A188" s="15">
        <v>45991.541666666664</v>
      </c>
      <c r="B188" t="s">
        <v>26</v>
      </c>
      <c r="C188">
        <v>8</v>
      </c>
      <c r="D188" t="s">
        <v>45</v>
      </c>
      <c r="E188">
        <v>26</v>
      </c>
      <c r="F188">
        <f t="shared" si="8"/>
        <v>-18</v>
      </c>
      <c r="G188">
        <v>0</v>
      </c>
      <c r="H188" s="16"/>
      <c r="I188" s="16"/>
      <c r="J188" s="16"/>
      <c r="K188" s="16"/>
      <c r="L188" s="17"/>
      <c r="W188" s="16" t="e">
        <f t="shared" si="9"/>
        <v>#DIV/0!</v>
      </c>
      <c r="X188" s="16" t="e">
        <f t="shared" si="10"/>
        <v>#DIV/0!</v>
      </c>
      <c r="Y188" s="1">
        <f t="shared" si="11"/>
        <v>-18</v>
      </c>
    </row>
    <row r="189" spans="1:25" x14ac:dyDescent="0.2">
      <c r="A189" s="15">
        <v>45991.541666666664</v>
      </c>
      <c r="B189" t="s">
        <v>33</v>
      </c>
      <c r="C189">
        <v>20</v>
      </c>
      <c r="D189" t="s">
        <v>41</v>
      </c>
      <c r="E189">
        <v>17</v>
      </c>
      <c r="F189">
        <f t="shared" si="8"/>
        <v>3</v>
      </c>
      <c r="G189">
        <v>0</v>
      </c>
      <c r="H189" s="16"/>
      <c r="I189" s="16"/>
      <c r="J189" s="16"/>
      <c r="K189" s="16"/>
      <c r="L189" s="17"/>
      <c r="W189" s="16" t="e">
        <f t="shared" si="9"/>
        <v>#DIV/0!</v>
      </c>
      <c r="X189" s="16" t="e">
        <f t="shared" si="10"/>
        <v>#DIV/0!</v>
      </c>
      <c r="Y189" s="1">
        <f t="shared" si="11"/>
        <v>3</v>
      </c>
    </row>
    <row r="190" spans="1:25" x14ac:dyDescent="0.2">
      <c r="A190" s="15">
        <v>45991.541666666664</v>
      </c>
      <c r="B190" t="s">
        <v>28</v>
      </c>
      <c r="C190">
        <v>16</v>
      </c>
      <c r="D190" t="s">
        <v>49</v>
      </c>
      <c r="E190">
        <v>20</v>
      </c>
      <c r="F190">
        <f t="shared" si="8"/>
        <v>-4</v>
      </c>
      <c r="G190">
        <v>0</v>
      </c>
      <c r="H190" s="16"/>
      <c r="I190" s="16"/>
      <c r="J190" s="16"/>
      <c r="K190" s="16"/>
      <c r="L190" s="17"/>
      <c r="W190" s="16" t="e">
        <f t="shared" si="9"/>
        <v>#DIV/0!</v>
      </c>
      <c r="X190" s="16" t="e">
        <f t="shared" si="10"/>
        <v>#DIV/0!</v>
      </c>
      <c r="Y190" s="1">
        <f t="shared" si="11"/>
        <v>-4</v>
      </c>
    </row>
    <row r="191" spans="1:25" x14ac:dyDescent="0.2">
      <c r="A191" s="15">
        <v>45991.541666666664</v>
      </c>
      <c r="B191" t="s">
        <v>29</v>
      </c>
      <c r="C191">
        <v>21</v>
      </c>
      <c r="D191" t="s">
        <v>40</v>
      </c>
      <c r="E191">
        <v>17</v>
      </c>
      <c r="F191">
        <f t="shared" si="8"/>
        <v>4</v>
      </c>
      <c r="G191">
        <v>0</v>
      </c>
      <c r="H191" s="16"/>
      <c r="I191" s="16"/>
      <c r="J191" s="16"/>
      <c r="K191" s="16"/>
      <c r="L191" s="17"/>
      <c r="W191" s="16" t="e">
        <f t="shared" si="9"/>
        <v>#DIV/0!</v>
      </c>
      <c r="X191" s="16" t="e">
        <f t="shared" si="10"/>
        <v>#DIV/0!</v>
      </c>
      <c r="Y191" s="1">
        <f t="shared" si="11"/>
        <v>4</v>
      </c>
    </row>
    <row r="192" spans="1:25" x14ac:dyDescent="0.2">
      <c r="A192" s="15">
        <v>45991.541666666664</v>
      </c>
      <c r="B192" t="s">
        <v>36</v>
      </c>
      <c r="C192">
        <v>27</v>
      </c>
      <c r="D192" t="s">
        <v>32</v>
      </c>
      <c r="E192">
        <v>24</v>
      </c>
      <c r="F192">
        <f t="shared" si="8"/>
        <v>3</v>
      </c>
      <c r="G192">
        <v>0</v>
      </c>
      <c r="H192" s="16"/>
      <c r="I192" s="16"/>
      <c r="J192" s="16"/>
      <c r="K192" s="16"/>
      <c r="L192" s="17"/>
      <c r="W192" s="16" t="e">
        <f t="shared" si="9"/>
        <v>#DIV/0!</v>
      </c>
      <c r="X192" s="16" t="e">
        <f t="shared" si="10"/>
        <v>#DIV/0!</v>
      </c>
      <c r="Y192" s="1">
        <f t="shared" si="11"/>
        <v>3</v>
      </c>
    </row>
    <row r="193" spans="1:25" x14ac:dyDescent="0.2">
      <c r="A193" s="15">
        <v>45991.541666666664</v>
      </c>
      <c r="B193" t="s">
        <v>35</v>
      </c>
      <c r="C193">
        <v>31</v>
      </c>
      <c r="D193" t="s">
        <v>48</v>
      </c>
      <c r="E193">
        <v>28</v>
      </c>
      <c r="F193">
        <f t="shared" si="8"/>
        <v>3</v>
      </c>
      <c r="G193">
        <v>0</v>
      </c>
      <c r="H193" s="16"/>
      <c r="I193" s="16"/>
      <c r="J193" s="16"/>
      <c r="K193" s="16"/>
      <c r="L193" s="17"/>
      <c r="W193" s="16" t="e">
        <f t="shared" si="9"/>
        <v>#DIV/0!</v>
      </c>
      <c r="X193" s="16" t="e">
        <f t="shared" si="10"/>
        <v>#DIV/0!</v>
      </c>
      <c r="Y193" s="1">
        <f t="shared" si="11"/>
        <v>3</v>
      </c>
    </row>
    <row r="194" spans="1:25" x14ac:dyDescent="0.2">
      <c r="A194" s="15">
        <v>45991.541666666664</v>
      </c>
      <c r="B194" t="s">
        <v>43</v>
      </c>
      <c r="C194">
        <v>3</v>
      </c>
      <c r="D194" t="s">
        <v>34</v>
      </c>
      <c r="E194">
        <v>25</v>
      </c>
      <c r="F194">
        <f t="shared" si="8"/>
        <v>-22</v>
      </c>
      <c r="G194">
        <v>0</v>
      </c>
      <c r="H194" s="16"/>
      <c r="I194" s="16"/>
      <c r="J194" s="16"/>
      <c r="K194" s="16"/>
      <c r="L194" s="17"/>
      <c r="W194" s="16" t="e">
        <f t="shared" si="9"/>
        <v>#DIV/0!</v>
      </c>
      <c r="X194" s="16" t="e">
        <f t="shared" si="10"/>
        <v>#DIV/0!</v>
      </c>
      <c r="Y194" s="1">
        <f t="shared" si="11"/>
        <v>-22</v>
      </c>
    </row>
    <row r="195" spans="1:25" x14ac:dyDescent="0.2">
      <c r="A195" s="15">
        <v>45991.670138888891</v>
      </c>
      <c r="B195" t="s">
        <v>44</v>
      </c>
      <c r="C195">
        <v>26</v>
      </c>
      <c r="D195" t="s">
        <v>53</v>
      </c>
      <c r="E195">
        <v>0</v>
      </c>
      <c r="F195">
        <f t="shared" si="8"/>
        <v>26</v>
      </c>
      <c r="G195">
        <v>0</v>
      </c>
      <c r="H195" s="16"/>
      <c r="I195" s="16"/>
      <c r="J195" s="16"/>
      <c r="K195" s="16"/>
      <c r="L195" s="17"/>
      <c r="W195" s="16" t="e">
        <f t="shared" si="9"/>
        <v>#DIV/0!</v>
      </c>
      <c r="X195" s="16" t="e">
        <f t="shared" si="10"/>
        <v>#DIV/0!</v>
      </c>
      <c r="Y195" s="1">
        <f t="shared" si="11"/>
        <v>26</v>
      </c>
    </row>
    <row r="196" spans="1:25" x14ac:dyDescent="0.2">
      <c r="A196" s="15">
        <v>45991.684027777781</v>
      </c>
      <c r="B196" t="s">
        <v>24</v>
      </c>
      <c r="C196">
        <v>31</v>
      </c>
      <c r="D196" t="s">
        <v>39</v>
      </c>
      <c r="E196">
        <v>14</v>
      </c>
      <c r="F196">
        <f t="shared" si="8"/>
        <v>17</v>
      </c>
      <c r="G196">
        <v>0</v>
      </c>
      <c r="H196" s="16"/>
      <c r="I196" s="16"/>
      <c r="J196" s="16"/>
      <c r="K196" s="16"/>
      <c r="L196" s="17"/>
      <c r="W196" s="16" t="e">
        <f t="shared" si="9"/>
        <v>#DIV/0!</v>
      </c>
      <c r="X196" s="16" t="e">
        <f t="shared" si="10"/>
        <v>#DIV/0!</v>
      </c>
      <c r="Y196" s="1">
        <f t="shared" si="11"/>
        <v>17</v>
      </c>
    </row>
    <row r="197" spans="1:25" x14ac:dyDescent="0.2">
      <c r="A197" s="15">
        <v>45991.684027777781</v>
      </c>
      <c r="B197" t="s">
        <v>37</v>
      </c>
      <c r="C197">
        <v>7</v>
      </c>
      <c r="D197" t="s">
        <v>50</v>
      </c>
      <c r="E197">
        <v>26</v>
      </c>
      <c r="F197">
        <f t="shared" si="8"/>
        <v>-19</v>
      </c>
      <c r="G197">
        <v>0</v>
      </c>
      <c r="H197" s="16"/>
      <c r="I197" s="16"/>
      <c r="J197" s="16"/>
      <c r="K197" s="16"/>
      <c r="L197" s="17"/>
      <c r="W197" s="16" t="e">
        <f t="shared" si="9"/>
        <v>#DIV/0!</v>
      </c>
      <c r="X197" s="16" t="e">
        <f t="shared" si="10"/>
        <v>#DIV/0!</v>
      </c>
      <c r="Y197" s="1">
        <f t="shared" si="11"/>
        <v>-19</v>
      </c>
    </row>
    <row r="198" spans="1:25" x14ac:dyDescent="0.2">
      <c r="A198" s="15">
        <v>45991.847222222219</v>
      </c>
      <c r="B198" t="s">
        <v>30</v>
      </c>
      <c r="C198">
        <v>26</v>
      </c>
      <c r="D198" t="s">
        <v>42</v>
      </c>
      <c r="E198">
        <v>27</v>
      </c>
      <c r="F198">
        <f t="shared" ref="F198:F261" si="12">C198-E198</f>
        <v>-1</v>
      </c>
      <c r="G198">
        <v>0</v>
      </c>
      <c r="H198" s="16"/>
      <c r="I198" s="16"/>
      <c r="J198" s="16"/>
      <c r="K198" s="16"/>
      <c r="L198" s="17"/>
      <c r="W198" s="16" t="e">
        <f t="shared" si="9"/>
        <v>#DIV/0!</v>
      </c>
      <c r="X198" s="16" t="e">
        <f t="shared" si="10"/>
        <v>#DIV/0!</v>
      </c>
      <c r="Y198" s="1">
        <f t="shared" si="11"/>
        <v>-1</v>
      </c>
    </row>
    <row r="199" spans="1:25" x14ac:dyDescent="0.2">
      <c r="A199" s="15">
        <v>45992.84375</v>
      </c>
      <c r="B199" t="s">
        <v>38</v>
      </c>
      <c r="C199">
        <v>33</v>
      </c>
      <c r="D199" t="s">
        <v>31</v>
      </c>
      <c r="E199">
        <v>15</v>
      </c>
      <c r="F199">
        <f t="shared" si="12"/>
        <v>18</v>
      </c>
      <c r="G199">
        <v>0</v>
      </c>
      <c r="H199" s="16"/>
      <c r="I199" s="16"/>
      <c r="J199" s="16"/>
      <c r="K199" s="16"/>
      <c r="L199" s="17"/>
      <c r="W199" s="16" t="e">
        <f t="shared" ref="W199:W262" si="13">(H199+J199)/SUM(H199:J199)</f>
        <v>#DIV/0!</v>
      </c>
      <c r="X199" s="16" t="e">
        <f t="shared" ref="X199:X262" si="14">(W199-0.5)</f>
        <v>#DIV/0!</v>
      </c>
      <c r="Y199" s="1">
        <f t="shared" ref="Y199:Y262" si="15">F199</f>
        <v>18</v>
      </c>
    </row>
    <row r="200" spans="1:25" x14ac:dyDescent="0.2">
      <c r="A200" s="15">
        <v>45995.84375</v>
      </c>
      <c r="B200" t="s">
        <v>47</v>
      </c>
      <c r="C200">
        <v>44</v>
      </c>
      <c r="D200" t="s">
        <v>23</v>
      </c>
      <c r="E200">
        <v>30</v>
      </c>
      <c r="F200">
        <f t="shared" si="12"/>
        <v>14</v>
      </c>
      <c r="G200">
        <v>0</v>
      </c>
      <c r="H200" s="16"/>
      <c r="I200" s="16"/>
      <c r="J200" s="16"/>
      <c r="K200" s="16"/>
      <c r="L200" s="17"/>
      <c r="W200" s="16" t="e">
        <f t="shared" si="13"/>
        <v>#DIV/0!</v>
      </c>
      <c r="X200" s="16" t="e">
        <f t="shared" si="14"/>
        <v>#DIV/0!</v>
      </c>
      <c r="Y200" s="1">
        <f t="shared" si="15"/>
        <v>14</v>
      </c>
    </row>
    <row r="201" spans="1:25" x14ac:dyDescent="0.2">
      <c r="A201" s="15">
        <v>45998.541666666664</v>
      </c>
      <c r="B201" t="s">
        <v>50</v>
      </c>
      <c r="C201">
        <v>39</v>
      </c>
      <c r="D201" t="s">
        <v>27</v>
      </c>
      <c r="E201">
        <v>34</v>
      </c>
      <c r="F201">
        <f t="shared" si="12"/>
        <v>5</v>
      </c>
      <c r="G201">
        <v>0</v>
      </c>
      <c r="H201" s="16"/>
      <c r="I201" s="16"/>
      <c r="J201" s="16"/>
      <c r="K201" s="16"/>
      <c r="L201" s="17"/>
      <c r="W201" s="16" t="e">
        <f t="shared" si="13"/>
        <v>#DIV/0!</v>
      </c>
      <c r="X201" s="16" t="e">
        <f t="shared" si="14"/>
        <v>#DIV/0!</v>
      </c>
      <c r="Y201" s="1">
        <f t="shared" si="15"/>
        <v>5</v>
      </c>
    </row>
    <row r="202" spans="1:25" x14ac:dyDescent="0.2">
      <c r="A202" s="15">
        <v>45998.541666666664</v>
      </c>
      <c r="B202" t="s">
        <v>26</v>
      </c>
      <c r="C202">
        <v>29</v>
      </c>
      <c r="D202" t="s">
        <v>43</v>
      </c>
      <c r="E202">
        <v>31</v>
      </c>
      <c r="F202">
        <f t="shared" si="12"/>
        <v>-2</v>
      </c>
      <c r="G202">
        <v>0</v>
      </c>
      <c r="H202" s="16"/>
      <c r="I202" s="16"/>
      <c r="J202" s="16"/>
      <c r="K202" s="16"/>
      <c r="L202" s="17"/>
      <c r="W202" s="16" t="e">
        <f t="shared" si="13"/>
        <v>#DIV/0!</v>
      </c>
      <c r="X202" s="16" t="e">
        <f t="shared" si="14"/>
        <v>#DIV/0!</v>
      </c>
      <c r="Y202" s="1">
        <f t="shared" si="15"/>
        <v>-2</v>
      </c>
    </row>
    <row r="203" spans="1:25" x14ac:dyDescent="0.2">
      <c r="A203" s="15">
        <v>45998.541666666664</v>
      </c>
      <c r="B203" t="s">
        <v>33</v>
      </c>
      <c r="C203">
        <v>20</v>
      </c>
      <c r="D203" t="s">
        <v>40</v>
      </c>
      <c r="E203">
        <v>24</v>
      </c>
      <c r="F203">
        <f t="shared" si="12"/>
        <v>-4</v>
      </c>
      <c r="G203">
        <v>0</v>
      </c>
      <c r="H203" s="16"/>
      <c r="I203" s="16"/>
      <c r="J203" s="16"/>
      <c r="K203" s="16"/>
      <c r="L203" s="17"/>
      <c r="W203" s="16" t="e">
        <f t="shared" si="13"/>
        <v>#DIV/0!</v>
      </c>
      <c r="X203" s="16" t="e">
        <f t="shared" si="14"/>
        <v>#DIV/0!</v>
      </c>
      <c r="Y203" s="1">
        <f t="shared" si="15"/>
        <v>-4</v>
      </c>
    </row>
    <row r="204" spans="1:25" x14ac:dyDescent="0.2">
      <c r="A204" s="15">
        <v>45998.541666666664</v>
      </c>
      <c r="B204" t="s">
        <v>32</v>
      </c>
      <c r="C204">
        <v>9</v>
      </c>
      <c r="D204" t="s">
        <v>44</v>
      </c>
      <c r="E204">
        <v>37</v>
      </c>
      <c r="F204">
        <f t="shared" si="12"/>
        <v>-28</v>
      </c>
      <c r="G204">
        <v>0</v>
      </c>
      <c r="H204" s="16"/>
      <c r="I204" s="16"/>
      <c r="J204" s="16"/>
      <c r="K204" s="16"/>
      <c r="L204" s="17"/>
      <c r="W204" s="16" t="e">
        <f t="shared" si="13"/>
        <v>#DIV/0!</v>
      </c>
      <c r="X204" s="16" t="e">
        <f t="shared" si="14"/>
        <v>#DIV/0!</v>
      </c>
      <c r="Y204" s="1">
        <f t="shared" si="15"/>
        <v>-28</v>
      </c>
    </row>
    <row r="205" spans="1:25" x14ac:dyDescent="0.2">
      <c r="A205" s="15">
        <v>45998.541666666664</v>
      </c>
      <c r="B205" t="s">
        <v>34</v>
      </c>
      <c r="C205">
        <v>36</v>
      </c>
      <c r="D205" t="s">
        <v>28</v>
      </c>
      <c r="E205">
        <v>19</v>
      </c>
      <c r="F205">
        <f t="shared" si="12"/>
        <v>17</v>
      </c>
      <c r="G205">
        <v>0</v>
      </c>
      <c r="H205" s="16"/>
      <c r="I205" s="16"/>
      <c r="J205" s="16"/>
      <c r="K205" s="16"/>
      <c r="L205" s="17"/>
      <c r="W205" s="16" t="e">
        <f t="shared" si="13"/>
        <v>#DIV/0!</v>
      </c>
      <c r="X205" s="16" t="e">
        <f t="shared" si="14"/>
        <v>#DIV/0!</v>
      </c>
      <c r="Y205" s="1">
        <f t="shared" si="15"/>
        <v>17</v>
      </c>
    </row>
    <row r="206" spans="1:25" x14ac:dyDescent="0.2">
      <c r="A206" s="15">
        <v>45998.541666666664</v>
      </c>
      <c r="B206" t="s">
        <v>36</v>
      </c>
      <c r="C206">
        <v>10</v>
      </c>
      <c r="D206" t="s">
        <v>29</v>
      </c>
      <c r="E206">
        <v>34</v>
      </c>
      <c r="F206">
        <f t="shared" si="12"/>
        <v>-24</v>
      </c>
      <c r="G206">
        <v>0</v>
      </c>
      <c r="H206" s="16"/>
      <c r="I206" s="16"/>
      <c r="J206" s="16"/>
      <c r="K206" s="16"/>
      <c r="L206" s="17"/>
      <c r="W206" s="16" t="e">
        <f t="shared" si="13"/>
        <v>#DIV/0!</v>
      </c>
      <c r="X206" s="16" t="e">
        <f t="shared" si="14"/>
        <v>#DIV/0!</v>
      </c>
      <c r="Y206" s="1">
        <f t="shared" si="15"/>
        <v>-24</v>
      </c>
    </row>
    <row r="207" spans="1:25" x14ac:dyDescent="0.2">
      <c r="A207" s="15">
        <v>45998.541666666664</v>
      </c>
      <c r="B207" t="s">
        <v>51</v>
      </c>
      <c r="C207">
        <v>22</v>
      </c>
      <c r="D207" t="s">
        <v>37</v>
      </c>
      <c r="E207">
        <v>27</v>
      </c>
      <c r="F207">
        <f t="shared" si="12"/>
        <v>-5</v>
      </c>
      <c r="G207">
        <v>0</v>
      </c>
      <c r="H207" s="16"/>
      <c r="I207" s="16"/>
      <c r="J207" s="16"/>
      <c r="K207" s="16"/>
      <c r="L207" s="17"/>
      <c r="W207" s="16" t="e">
        <f t="shared" si="13"/>
        <v>#DIV/0!</v>
      </c>
      <c r="X207" s="16" t="e">
        <f t="shared" si="14"/>
        <v>#DIV/0!</v>
      </c>
      <c r="Y207" s="1">
        <f t="shared" si="15"/>
        <v>-5</v>
      </c>
    </row>
    <row r="208" spans="1:25" x14ac:dyDescent="0.2">
      <c r="A208" s="15">
        <v>45998.541666666664</v>
      </c>
      <c r="B208" t="s">
        <v>53</v>
      </c>
      <c r="C208">
        <v>31</v>
      </c>
      <c r="D208" t="s">
        <v>30</v>
      </c>
      <c r="E208">
        <v>0</v>
      </c>
      <c r="F208">
        <f t="shared" si="12"/>
        <v>31</v>
      </c>
      <c r="G208">
        <v>0</v>
      </c>
      <c r="H208" s="16"/>
      <c r="I208" s="16"/>
      <c r="J208" s="16"/>
      <c r="K208" s="16"/>
      <c r="L208" s="17"/>
      <c r="W208" s="16" t="e">
        <f t="shared" si="13"/>
        <v>#DIV/0!</v>
      </c>
      <c r="X208" s="16" t="e">
        <f t="shared" si="14"/>
        <v>#DIV/0!</v>
      </c>
      <c r="Y208" s="1">
        <f t="shared" si="15"/>
        <v>31</v>
      </c>
    </row>
    <row r="209" spans="1:25" x14ac:dyDescent="0.2">
      <c r="A209" s="15">
        <v>45998.670138888891</v>
      </c>
      <c r="B209" t="s">
        <v>39</v>
      </c>
      <c r="C209">
        <v>17</v>
      </c>
      <c r="D209" t="s">
        <v>42</v>
      </c>
      <c r="E209">
        <v>24</v>
      </c>
      <c r="F209">
        <f t="shared" si="12"/>
        <v>-7</v>
      </c>
      <c r="G209">
        <v>0</v>
      </c>
      <c r="H209" s="16"/>
      <c r="I209" s="16"/>
      <c r="J209" s="16"/>
      <c r="K209" s="16"/>
      <c r="L209" s="17"/>
      <c r="W209" s="16" t="e">
        <f t="shared" si="13"/>
        <v>#DIV/0!</v>
      </c>
      <c r="X209" s="16" t="e">
        <f t="shared" si="14"/>
        <v>#DIV/0!</v>
      </c>
      <c r="Y209" s="1">
        <f t="shared" si="15"/>
        <v>-7</v>
      </c>
    </row>
    <row r="210" spans="1:25" x14ac:dyDescent="0.2">
      <c r="A210" s="15">
        <v>45998.684027777781</v>
      </c>
      <c r="B210" t="s">
        <v>41</v>
      </c>
      <c r="C210">
        <v>17</v>
      </c>
      <c r="D210" t="s">
        <v>48</v>
      </c>
      <c r="E210">
        <v>45</v>
      </c>
      <c r="F210">
        <f t="shared" si="12"/>
        <v>-28</v>
      </c>
      <c r="G210">
        <v>0</v>
      </c>
      <c r="H210" s="16"/>
      <c r="I210" s="16"/>
      <c r="J210" s="16"/>
      <c r="K210" s="16"/>
      <c r="L210" s="17"/>
      <c r="W210" s="16" t="e">
        <f t="shared" si="13"/>
        <v>#DIV/0!</v>
      </c>
      <c r="X210" s="16" t="e">
        <f t="shared" si="14"/>
        <v>#DIV/0!</v>
      </c>
      <c r="Y210" s="1">
        <f t="shared" si="15"/>
        <v>-28</v>
      </c>
    </row>
    <row r="211" spans="1:25" x14ac:dyDescent="0.2">
      <c r="A211" s="15">
        <v>45998.684027777781</v>
      </c>
      <c r="B211" t="s">
        <v>46</v>
      </c>
      <c r="C211">
        <v>28</v>
      </c>
      <c r="D211" t="s">
        <v>52</v>
      </c>
      <c r="E211">
        <v>21</v>
      </c>
      <c r="F211">
        <f t="shared" si="12"/>
        <v>7</v>
      </c>
      <c r="G211">
        <v>0</v>
      </c>
      <c r="H211" s="16"/>
      <c r="I211" s="16"/>
      <c r="J211" s="16"/>
      <c r="K211" s="16"/>
      <c r="L211" s="17"/>
      <c r="W211" s="16" t="e">
        <f t="shared" si="13"/>
        <v>#DIV/0!</v>
      </c>
      <c r="X211" s="16" t="e">
        <f t="shared" si="14"/>
        <v>#DIV/0!</v>
      </c>
      <c r="Y211" s="1">
        <f t="shared" si="15"/>
        <v>7</v>
      </c>
    </row>
    <row r="212" spans="1:25" x14ac:dyDescent="0.2">
      <c r="A212" s="15">
        <v>45998.847222222219</v>
      </c>
      <c r="B212" t="s">
        <v>25</v>
      </c>
      <c r="C212">
        <v>10</v>
      </c>
      <c r="D212" t="s">
        <v>49</v>
      </c>
      <c r="E212">
        <v>20</v>
      </c>
      <c r="F212">
        <f t="shared" si="12"/>
        <v>-10</v>
      </c>
      <c r="G212">
        <v>0</v>
      </c>
      <c r="H212" s="16"/>
      <c r="I212" s="16"/>
      <c r="J212" s="16"/>
      <c r="K212" s="16"/>
      <c r="L212" s="17"/>
      <c r="W212" s="16" t="e">
        <f t="shared" si="13"/>
        <v>#DIV/0!</v>
      </c>
      <c r="X212" s="16" t="e">
        <f t="shared" si="14"/>
        <v>#DIV/0!</v>
      </c>
      <c r="Y212" s="1">
        <f t="shared" si="15"/>
        <v>-10</v>
      </c>
    </row>
    <row r="213" spans="1:25" x14ac:dyDescent="0.2">
      <c r="A213" s="15">
        <v>45999.84375</v>
      </c>
      <c r="B213" t="s">
        <v>24</v>
      </c>
      <c r="C213">
        <v>22</v>
      </c>
      <c r="D213" t="s">
        <v>22</v>
      </c>
      <c r="E213">
        <v>19</v>
      </c>
      <c r="F213">
        <f t="shared" si="12"/>
        <v>3</v>
      </c>
      <c r="G213">
        <v>0</v>
      </c>
      <c r="H213" s="16"/>
      <c r="I213" s="16"/>
      <c r="J213" s="16"/>
      <c r="K213" s="16"/>
      <c r="L213" s="17"/>
      <c r="W213" s="16" t="e">
        <f t="shared" si="13"/>
        <v>#DIV/0!</v>
      </c>
      <c r="X213" s="16" t="e">
        <f t="shared" si="14"/>
        <v>#DIV/0!</v>
      </c>
      <c r="Y213" s="1">
        <f t="shared" si="15"/>
        <v>3</v>
      </c>
    </row>
    <row r="214" spans="1:25" x14ac:dyDescent="0.2">
      <c r="A214" s="15">
        <v>46002.84375</v>
      </c>
      <c r="B214" t="s">
        <v>33</v>
      </c>
      <c r="C214">
        <v>28</v>
      </c>
      <c r="D214" t="s">
        <v>32</v>
      </c>
      <c r="E214">
        <v>29</v>
      </c>
      <c r="F214">
        <f t="shared" si="12"/>
        <v>-1</v>
      </c>
      <c r="G214">
        <v>0</v>
      </c>
      <c r="H214" s="16"/>
      <c r="I214" s="16"/>
      <c r="J214" s="16"/>
      <c r="K214" s="16"/>
      <c r="L214" s="17"/>
      <c r="W214" s="16" t="e">
        <f t="shared" si="13"/>
        <v>#DIV/0!</v>
      </c>
      <c r="X214" s="16" t="e">
        <f t="shared" si="14"/>
        <v>#DIV/0!</v>
      </c>
      <c r="Y214" s="1">
        <f t="shared" si="15"/>
        <v>-1</v>
      </c>
    </row>
    <row r="215" spans="1:25" x14ac:dyDescent="0.2">
      <c r="A215" s="15">
        <v>46005.541666666664</v>
      </c>
      <c r="B215" t="s">
        <v>52</v>
      </c>
      <c r="C215">
        <v>31</v>
      </c>
      <c r="D215" t="s">
        <v>26</v>
      </c>
      <c r="E215">
        <v>3</v>
      </c>
      <c r="F215">
        <f t="shared" si="12"/>
        <v>28</v>
      </c>
      <c r="G215">
        <v>0</v>
      </c>
      <c r="H215" s="16"/>
      <c r="I215" s="16"/>
      <c r="J215" s="16"/>
      <c r="K215" s="16"/>
      <c r="L215" s="17"/>
      <c r="W215" s="16" t="e">
        <f t="shared" si="13"/>
        <v>#DIV/0!</v>
      </c>
      <c r="X215" s="16" t="e">
        <f t="shared" si="14"/>
        <v>#DIV/0!</v>
      </c>
      <c r="Y215" s="1">
        <f t="shared" si="15"/>
        <v>28</v>
      </c>
    </row>
    <row r="216" spans="1:25" x14ac:dyDescent="0.2">
      <c r="A216" s="15">
        <v>46005.541666666664</v>
      </c>
      <c r="B216" t="s">
        <v>27</v>
      </c>
      <c r="C216">
        <v>0</v>
      </c>
      <c r="D216" t="s">
        <v>51</v>
      </c>
      <c r="E216">
        <v>24</v>
      </c>
      <c r="F216">
        <f t="shared" si="12"/>
        <v>-24</v>
      </c>
      <c r="G216">
        <v>0</v>
      </c>
      <c r="H216" s="16"/>
      <c r="I216" s="16"/>
      <c r="J216" s="16"/>
      <c r="K216" s="16"/>
      <c r="L216" s="17"/>
      <c r="W216" s="16" t="e">
        <f t="shared" si="13"/>
        <v>#DIV/0!</v>
      </c>
      <c r="X216" s="16" t="e">
        <f t="shared" si="14"/>
        <v>#DIV/0!</v>
      </c>
      <c r="Y216" s="1">
        <f t="shared" si="15"/>
        <v>-24</v>
      </c>
    </row>
    <row r="217" spans="1:25" x14ac:dyDescent="0.2">
      <c r="A217" s="15">
        <v>46005.541666666664</v>
      </c>
      <c r="B217" t="s">
        <v>25</v>
      </c>
      <c r="C217">
        <v>13</v>
      </c>
      <c r="D217" t="s">
        <v>24</v>
      </c>
      <c r="E217">
        <v>16</v>
      </c>
      <c r="F217">
        <f t="shared" si="12"/>
        <v>-3</v>
      </c>
      <c r="G217">
        <v>0</v>
      </c>
      <c r="H217" s="16"/>
      <c r="I217" s="16"/>
      <c r="J217" s="16"/>
      <c r="K217" s="16"/>
      <c r="L217" s="17"/>
      <c r="W217" s="16" t="e">
        <f t="shared" si="13"/>
        <v>#DIV/0!</v>
      </c>
      <c r="X217" s="16" t="e">
        <f t="shared" si="14"/>
        <v>#DIV/0!</v>
      </c>
      <c r="Y217" s="1">
        <f t="shared" si="15"/>
        <v>-3</v>
      </c>
    </row>
    <row r="218" spans="1:25" x14ac:dyDescent="0.2">
      <c r="A218" s="15">
        <v>46005.541666666664</v>
      </c>
      <c r="B218" t="s">
        <v>22</v>
      </c>
      <c r="C218">
        <v>31</v>
      </c>
      <c r="D218" t="s">
        <v>39</v>
      </c>
      <c r="E218">
        <v>0</v>
      </c>
      <c r="F218">
        <f t="shared" si="12"/>
        <v>31</v>
      </c>
      <c r="G218">
        <v>0</v>
      </c>
      <c r="H218" s="16"/>
      <c r="I218" s="16"/>
      <c r="J218" s="16"/>
      <c r="K218" s="16"/>
      <c r="L218" s="17"/>
      <c r="W218" s="16" t="e">
        <f t="shared" si="13"/>
        <v>#DIV/0!</v>
      </c>
      <c r="X218" s="16" t="e">
        <f t="shared" si="14"/>
        <v>#DIV/0!</v>
      </c>
      <c r="Y218" s="1">
        <f t="shared" si="15"/>
        <v>31</v>
      </c>
    </row>
    <row r="219" spans="1:25" x14ac:dyDescent="0.2">
      <c r="A219" s="15">
        <v>46005.541666666664</v>
      </c>
      <c r="B219" t="s">
        <v>31</v>
      </c>
      <c r="C219">
        <v>21</v>
      </c>
      <c r="D219" t="s">
        <v>30</v>
      </c>
      <c r="E219">
        <v>29</v>
      </c>
      <c r="F219">
        <f t="shared" si="12"/>
        <v>-8</v>
      </c>
      <c r="G219">
        <v>0</v>
      </c>
      <c r="H219" s="16"/>
      <c r="I219" s="16"/>
      <c r="J219" s="16"/>
      <c r="K219" s="16"/>
      <c r="L219" s="17"/>
      <c r="W219" s="16" t="e">
        <f t="shared" si="13"/>
        <v>#DIV/0!</v>
      </c>
      <c r="X219" s="16" t="e">
        <f t="shared" si="14"/>
        <v>#DIV/0!</v>
      </c>
      <c r="Y219" s="1">
        <f t="shared" si="15"/>
        <v>-8</v>
      </c>
    </row>
    <row r="220" spans="1:25" x14ac:dyDescent="0.2">
      <c r="A220" s="15">
        <v>46005.541666666664</v>
      </c>
      <c r="B220" t="s">
        <v>34</v>
      </c>
      <c r="C220">
        <v>48</v>
      </c>
      <c r="D220" t="s">
        <v>36</v>
      </c>
      <c r="E220">
        <v>20</v>
      </c>
      <c r="F220">
        <f t="shared" si="12"/>
        <v>28</v>
      </c>
      <c r="G220">
        <v>0</v>
      </c>
      <c r="H220" s="16"/>
      <c r="I220" s="16"/>
      <c r="J220" s="16"/>
      <c r="K220" s="16"/>
      <c r="L220" s="17"/>
      <c r="W220" s="16" t="e">
        <f t="shared" si="13"/>
        <v>#DIV/0!</v>
      </c>
      <c r="X220" s="16" t="e">
        <f t="shared" si="14"/>
        <v>#DIV/0!</v>
      </c>
      <c r="Y220" s="1">
        <f t="shared" si="15"/>
        <v>28</v>
      </c>
    </row>
    <row r="221" spans="1:25" x14ac:dyDescent="0.2">
      <c r="A221" s="15">
        <v>46005.541666666664</v>
      </c>
      <c r="B221" t="s">
        <v>38</v>
      </c>
      <c r="C221">
        <v>31</v>
      </c>
      <c r="D221" t="s">
        <v>50</v>
      </c>
      <c r="E221">
        <v>35</v>
      </c>
      <c r="F221">
        <f t="shared" si="12"/>
        <v>-4</v>
      </c>
      <c r="G221">
        <v>0</v>
      </c>
      <c r="H221" s="16"/>
      <c r="I221" s="16"/>
      <c r="J221" s="16"/>
      <c r="K221" s="16"/>
      <c r="L221" s="17"/>
      <c r="W221" s="16" t="e">
        <f t="shared" si="13"/>
        <v>#DIV/0!</v>
      </c>
      <c r="X221" s="16" t="e">
        <f t="shared" si="14"/>
        <v>#DIV/0!</v>
      </c>
      <c r="Y221" s="1">
        <f t="shared" si="15"/>
        <v>-4</v>
      </c>
    </row>
    <row r="222" spans="1:25" x14ac:dyDescent="0.2">
      <c r="A222" s="15">
        <v>46005.541666666664</v>
      </c>
      <c r="B222" t="s">
        <v>49</v>
      </c>
      <c r="C222">
        <v>40</v>
      </c>
      <c r="D222" t="s">
        <v>41</v>
      </c>
      <c r="E222">
        <v>20</v>
      </c>
      <c r="F222">
        <f t="shared" si="12"/>
        <v>20</v>
      </c>
      <c r="G222">
        <v>0</v>
      </c>
      <c r="H222" s="16"/>
      <c r="I222" s="16"/>
      <c r="J222" s="16"/>
      <c r="K222" s="16"/>
      <c r="L222" s="17"/>
      <c r="W222" s="16" t="e">
        <f t="shared" si="13"/>
        <v>#DIV/0!</v>
      </c>
      <c r="X222" s="16" t="e">
        <f t="shared" si="14"/>
        <v>#DIV/0!</v>
      </c>
      <c r="Y222" s="1">
        <f t="shared" si="15"/>
        <v>20</v>
      </c>
    </row>
    <row r="223" spans="1:25" x14ac:dyDescent="0.2">
      <c r="A223" s="15">
        <v>46005.684027777781</v>
      </c>
      <c r="B223" t="s">
        <v>45</v>
      </c>
      <c r="C223">
        <v>37</v>
      </c>
      <c r="D223" t="s">
        <v>43</v>
      </c>
      <c r="E223">
        <v>24</v>
      </c>
      <c r="F223">
        <f t="shared" si="12"/>
        <v>13</v>
      </c>
      <c r="G223">
        <v>0</v>
      </c>
      <c r="H223" s="16"/>
      <c r="I223" s="16"/>
      <c r="J223" s="16"/>
      <c r="K223" s="16"/>
      <c r="L223" s="17"/>
      <c r="W223" s="16" t="e">
        <f t="shared" si="13"/>
        <v>#DIV/0!</v>
      </c>
      <c r="X223" s="16" t="e">
        <f t="shared" si="14"/>
        <v>#DIV/0!</v>
      </c>
      <c r="Y223" s="1">
        <f t="shared" si="15"/>
        <v>13</v>
      </c>
    </row>
    <row r="224" spans="1:25" x14ac:dyDescent="0.2">
      <c r="A224" s="15">
        <v>46005.684027777781</v>
      </c>
      <c r="B224" t="s">
        <v>42</v>
      </c>
      <c r="C224">
        <v>34</v>
      </c>
      <c r="D224" t="s">
        <v>46</v>
      </c>
      <c r="E224">
        <v>26</v>
      </c>
      <c r="F224">
        <f t="shared" si="12"/>
        <v>8</v>
      </c>
      <c r="G224">
        <v>0</v>
      </c>
      <c r="H224" s="16"/>
      <c r="I224" s="16"/>
      <c r="J224" s="16"/>
      <c r="K224" s="16"/>
      <c r="L224" s="17"/>
      <c r="W224" s="16" t="e">
        <f t="shared" si="13"/>
        <v>#DIV/0!</v>
      </c>
      <c r="X224" s="16" t="e">
        <f t="shared" si="14"/>
        <v>#DIV/0!</v>
      </c>
      <c r="Y224" s="1">
        <f t="shared" si="15"/>
        <v>8</v>
      </c>
    </row>
    <row r="225" spans="1:25" x14ac:dyDescent="0.2">
      <c r="A225" s="15">
        <v>46005.684027777781</v>
      </c>
      <c r="B225" t="s">
        <v>48</v>
      </c>
      <c r="C225">
        <v>41</v>
      </c>
      <c r="D225" t="s">
        <v>47</v>
      </c>
      <c r="E225">
        <v>34</v>
      </c>
      <c r="F225">
        <f t="shared" si="12"/>
        <v>7</v>
      </c>
      <c r="G225">
        <v>0</v>
      </c>
      <c r="H225" s="16"/>
      <c r="I225" s="16"/>
      <c r="J225" s="16"/>
      <c r="K225" s="16"/>
      <c r="L225" s="17"/>
      <c r="W225" s="16" t="e">
        <f t="shared" si="13"/>
        <v>#DIV/0!</v>
      </c>
      <c r="X225" s="16" t="e">
        <f t="shared" si="14"/>
        <v>#DIV/0!</v>
      </c>
      <c r="Y225" s="1">
        <f t="shared" si="15"/>
        <v>7</v>
      </c>
    </row>
    <row r="226" spans="1:25" x14ac:dyDescent="0.2">
      <c r="A226" s="15">
        <v>46005.684027777781</v>
      </c>
      <c r="B226" t="s">
        <v>40</v>
      </c>
      <c r="C226">
        <v>20</v>
      </c>
      <c r="D226" t="s">
        <v>35</v>
      </c>
      <c r="E226">
        <v>17</v>
      </c>
      <c r="F226">
        <f t="shared" si="12"/>
        <v>3</v>
      </c>
      <c r="G226">
        <v>0</v>
      </c>
      <c r="H226" s="16"/>
      <c r="I226" s="16"/>
      <c r="J226" s="16"/>
      <c r="K226" s="16"/>
      <c r="L226" s="17"/>
      <c r="W226" s="16" t="e">
        <f t="shared" si="13"/>
        <v>#DIV/0!</v>
      </c>
      <c r="X226" s="16" t="e">
        <f t="shared" si="14"/>
        <v>#DIV/0!</v>
      </c>
      <c r="Y226" s="1">
        <f t="shared" si="15"/>
        <v>3</v>
      </c>
    </row>
    <row r="227" spans="1:25" x14ac:dyDescent="0.2">
      <c r="A227" s="15">
        <v>46005.684027777781</v>
      </c>
      <c r="B227" t="s">
        <v>44</v>
      </c>
      <c r="C227">
        <v>18</v>
      </c>
      <c r="D227" t="s">
        <v>28</v>
      </c>
      <c r="E227">
        <v>16</v>
      </c>
      <c r="F227">
        <f t="shared" si="12"/>
        <v>2</v>
      </c>
      <c r="G227">
        <v>0</v>
      </c>
      <c r="H227" s="16"/>
      <c r="I227" s="16"/>
      <c r="J227" s="16"/>
      <c r="K227" s="16"/>
      <c r="L227" s="17"/>
      <c r="W227" s="16" t="e">
        <f t="shared" si="13"/>
        <v>#DIV/0!</v>
      </c>
      <c r="X227" s="16" t="e">
        <f t="shared" si="14"/>
        <v>#DIV/0!</v>
      </c>
      <c r="Y227" s="1">
        <f t="shared" si="15"/>
        <v>2</v>
      </c>
    </row>
    <row r="228" spans="1:25" x14ac:dyDescent="0.2">
      <c r="A228" s="15">
        <v>46005.847222222219</v>
      </c>
      <c r="B228" t="s">
        <v>23</v>
      </c>
      <c r="C228">
        <v>26</v>
      </c>
      <c r="D228" t="s">
        <v>53</v>
      </c>
      <c r="E228">
        <v>34</v>
      </c>
      <c r="F228">
        <f t="shared" si="12"/>
        <v>-8</v>
      </c>
      <c r="G228">
        <v>0</v>
      </c>
      <c r="H228" s="16"/>
      <c r="I228" s="16"/>
      <c r="J228" s="16"/>
      <c r="K228" s="16"/>
      <c r="L228" s="17"/>
      <c r="W228" s="16" t="e">
        <f t="shared" si="13"/>
        <v>#DIV/0!</v>
      </c>
      <c r="X228" s="16" t="e">
        <f t="shared" si="14"/>
        <v>#DIV/0!</v>
      </c>
      <c r="Y228" s="1">
        <f t="shared" si="15"/>
        <v>-8</v>
      </c>
    </row>
    <row r="229" spans="1:25" x14ac:dyDescent="0.2">
      <c r="A229" s="15">
        <v>46006.84375</v>
      </c>
      <c r="B229" t="s">
        <v>37</v>
      </c>
      <c r="C229">
        <v>28</v>
      </c>
      <c r="D229" t="s">
        <v>29</v>
      </c>
      <c r="E229">
        <v>15</v>
      </c>
      <c r="F229">
        <f t="shared" si="12"/>
        <v>13</v>
      </c>
      <c r="G229">
        <v>0</v>
      </c>
      <c r="H229" s="16"/>
      <c r="I229" s="16"/>
      <c r="J229" s="16"/>
      <c r="K229" s="16"/>
      <c r="L229" s="17"/>
      <c r="W229" s="16" t="e">
        <f t="shared" si="13"/>
        <v>#DIV/0!</v>
      </c>
      <c r="X229" s="16" t="e">
        <f t="shared" si="14"/>
        <v>#DIV/0!</v>
      </c>
      <c r="Y229" s="1">
        <f t="shared" si="15"/>
        <v>13</v>
      </c>
    </row>
    <row r="230" spans="1:25" x14ac:dyDescent="0.2">
      <c r="A230" s="15">
        <v>46009.84375</v>
      </c>
      <c r="B230" t="s">
        <v>44</v>
      </c>
      <c r="C230">
        <v>38</v>
      </c>
      <c r="D230" t="s">
        <v>48</v>
      </c>
      <c r="E230">
        <v>37</v>
      </c>
      <c r="F230">
        <f t="shared" si="12"/>
        <v>1</v>
      </c>
      <c r="G230">
        <v>0</v>
      </c>
      <c r="H230" s="16"/>
      <c r="I230" s="16"/>
      <c r="J230" s="16"/>
      <c r="K230" s="16"/>
      <c r="L230" s="17"/>
      <c r="W230" s="16" t="e">
        <f t="shared" si="13"/>
        <v>#DIV/0!</v>
      </c>
      <c r="X230" s="16" t="e">
        <f t="shared" si="14"/>
        <v>#DIV/0!</v>
      </c>
      <c r="Y230" s="1">
        <f t="shared" si="15"/>
        <v>1</v>
      </c>
    </row>
    <row r="231" spans="1:25" x14ac:dyDescent="0.2">
      <c r="A231" s="15">
        <v>46011.708333333336</v>
      </c>
      <c r="B231" t="s">
        <v>30</v>
      </c>
      <c r="C231">
        <v>18</v>
      </c>
      <c r="D231" t="s">
        <v>22</v>
      </c>
      <c r="E231">
        <v>29</v>
      </c>
      <c r="F231">
        <f t="shared" si="12"/>
        <v>-11</v>
      </c>
      <c r="G231">
        <v>0</v>
      </c>
      <c r="H231" s="16"/>
      <c r="I231" s="16"/>
      <c r="J231" s="16"/>
      <c r="K231" s="16"/>
      <c r="L231" s="17"/>
      <c r="W231" s="16" t="e">
        <f t="shared" si="13"/>
        <v>#DIV/0!</v>
      </c>
      <c r="X231" s="16" t="e">
        <f t="shared" si="14"/>
        <v>#DIV/0!</v>
      </c>
      <c r="Y231" s="1">
        <f t="shared" si="15"/>
        <v>-11</v>
      </c>
    </row>
    <row r="232" spans="1:25" x14ac:dyDescent="0.2">
      <c r="A232" s="15">
        <v>46011.847222222219</v>
      </c>
      <c r="B232" t="s">
        <v>52</v>
      </c>
      <c r="C232">
        <v>22</v>
      </c>
      <c r="D232" t="s">
        <v>46</v>
      </c>
      <c r="E232">
        <v>16</v>
      </c>
      <c r="F232">
        <f t="shared" si="12"/>
        <v>6</v>
      </c>
      <c r="G232">
        <v>0</v>
      </c>
      <c r="H232" s="16"/>
      <c r="I232" s="16"/>
      <c r="J232" s="16"/>
      <c r="K232" s="16"/>
      <c r="L232" s="17"/>
      <c r="W232" s="16" t="e">
        <f t="shared" si="13"/>
        <v>#DIV/0!</v>
      </c>
      <c r="X232" s="16" t="e">
        <f t="shared" si="14"/>
        <v>#DIV/0!</v>
      </c>
      <c r="Y232" s="1">
        <f t="shared" si="15"/>
        <v>6</v>
      </c>
    </row>
    <row r="233" spans="1:25" x14ac:dyDescent="0.2">
      <c r="A233" s="15">
        <v>46012.541666666664</v>
      </c>
      <c r="B233" t="s">
        <v>26</v>
      </c>
      <c r="C233">
        <v>20</v>
      </c>
      <c r="D233" t="s">
        <v>50</v>
      </c>
      <c r="E233">
        <v>23</v>
      </c>
      <c r="F233">
        <f t="shared" si="12"/>
        <v>-3</v>
      </c>
      <c r="G233">
        <v>0</v>
      </c>
      <c r="H233" s="16"/>
      <c r="I233" s="16"/>
      <c r="J233" s="16"/>
      <c r="K233" s="16"/>
      <c r="L233" s="17"/>
      <c r="W233" s="16" t="e">
        <f t="shared" si="13"/>
        <v>#DIV/0!</v>
      </c>
      <c r="X233" s="16" t="e">
        <f t="shared" si="14"/>
        <v>#DIV/0!</v>
      </c>
      <c r="Y233" s="1">
        <f t="shared" si="15"/>
        <v>-3</v>
      </c>
    </row>
    <row r="234" spans="1:25" x14ac:dyDescent="0.2">
      <c r="A234" s="15">
        <v>46012.541666666664</v>
      </c>
      <c r="B234" t="s">
        <v>23</v>
      </c>
      <c r="C234">
        <v>17</v>
      </c>
      <c r="D234" t="s">
        <v>24</v>
      </c>
      <c r="E234">
        <v>34</v>
      </c>
      <c r="F234">
        <f t="shared" si="12"/>
        <v>-17</v>
      </c>
      <c r="G234">
        <v>0</v>
      </c>
      <c r="H234" s="16"/>
      <c r="I234" s="16"/>
      <c r="J234" s="16"/>
      <c r="K234" s="16"/>
      <c r="L234" s="17"/>
      <c r="W234" s="16" t="e">
        <f t="shared" si="13"/>
        <v>#DIV/0!</v>
      </c>
      <c r="X234" s="16" t="e">
        <f t="shared" si="14"/>
        <v>#DIV/0!</v>
      </c>
      <c r="Y234" s="1">
        <f t="shared" si="15"/>
        <v>-17</v>
      </c>
    </row>
    <row r="235" spans="1:25" x14ac:dyDescent="0.2">
      <c r="A235" s="15">
        <v>46012.541666666664</v>
      </c>
      <c r="B235" t="s">
        <v>29</v>
      </c>
      <c r="C235">
        <v>21</v>
      </c>
      <c r="D235" t="s">
        <v>27</v>
      </c>
      <c r="E235">
        <v>45</v>
      </c>
      <c r="F235">
        <f t="shared" si="12"/>
        <v>-24</v>
      </c>
      <c r="G235">
        <v>0</v>
      </c>
      <c r="H235" s="16"/>
      <c r="I235" s="16"/>
      <c r="J235" s="16"/>
      <c r="K235" s="16"/>
      <c r="L235" s="17"/>
      <c r="W235" s="16" t="e">
        <f t="shared" si="13"/>
        <v>#DIV/0!</v>
      </c>
      <c r="X235" s="16" t="e">
        <f t="shared" si="14"/>
        <v>#DIV/0!</v>
      </c>
      <c r="Y235" s="1">
        <f t="shared" si="15"/>
        <v>-24</v>
      </c>
    </row>
    <row r="236" spans="1:25" x14ac:dyDescent="0.2">
      <c r="A236" s="15">
        <v>46012.541666666664</v>
      </c>
      <c r="B236" t="s">
        <v>31</v>
      </c>
      <c r="C236">
        <v>13</v>
      </c>
      <c r="D236" t="s">
        <v>53</v>
      </c>
      <c r="E236">
        <v>16</v>
      </c>
      <c r="F236">
        <f t="shared" si="12"/>
        <v>-3</v>
      </c>
      <c r="G236">
        <v>0</v>
      </c>
      <c r="H236" s="16"/>
      <c r="I236" s="16"/>
      <c r="J236" s="16"/>
      <c r="K236" s="16"/>
      <c r="L236" s="17"/>
      <c r="W236" s="16" t="e">
        <f t="shared" si="13"/>
        <v>#DIV/0!</v>
      </c>
      <c r="X236" s="16" t="e">
        <f t="shared" si="14"/>
        <v>#DIV/0!</v>
      </c>
      <c r="Y236" s="1">
        <f t="shared" si="15"/>
        <v>-3</v>
      </c>
    </row>
    <row r="237" spans="1:25" x14ac:dyDescent="0.2">
      <c r="A237" s="15">
        <v>46012.541666666664</v>
      </c>
      <c r="B237" t="s">
        <v>35</v>
      </c>
      <c r="C237">
        <v>23</v>
      </c>
      <c r="D237" t="s">
        <v>33</v>
      </c>
      <c r="E237">
        <v>20</v>
      </c>
      <c r="F237">
        <f t="shared" si="12"/>
        <v>3</v>
      </c>
      <c r="G237">
        <v>0</v>
      </c>
      <c r="H237" s="16"/>
      <c r="I237" s="16"/>
      <c r="J237" s="16"/>
      <c r="K237" s="16"/>
      <c r="L237" s="17"/>
      <c r="W237" s="16" t="e">
        <f t="shared" si="13"/>
        <v>#DIV/0!</v>
      </c>
      <c r="X237" s="16" t="e">
        <f t="shared" si="14"/>
        <v>#DIV/0!</v>
      </c>
      <c r="Y237" s="1">
        <f t="shared" si="15"/>
        <v>3</v>
      </c>
    </row>
    <row r="238" spans="1:25" x14ac:dyDescent="0.2">
      <c r="A238" s="15">
        <v>46012.541666666664</v>
      </c>
      <c r="B238" t="s">
        <v>40</v>
      </c>
      <c r="C238">
        <v>29</v>
      </c>
      <c r="D238" t="s">
        <v>36</v>
      </c>
      <c r="E238">
        <v>6</v>
      </c>
      <c r="F238">
        <f t="shared" si="12"/>
        <v>23</v>
      </c>
      <c r="G238">
        <v>0</v>
      </c>
      <c r="H238" s="16"/>
      <c r="I238" s="16"/>
      <c r="J238" s="16"/>
      <c r="K238" s="16"/>
      <c r="L238" s="17"/>
      <c r="W238" s="16" t="e">
        <f t="shared" si="13"/>
        <v>#DIV/0!</v>
      </c>
      <c r="X238" s="16" t="e">
        <f t="shared" si="14"/>
        <v>#DIV/0!</v>
      </c>
      <c r="Y238" s="1">
        <f t="shared" si="15"/>
        <v>23</v>
      </c>
    </row>
    <row r="239" spans="1:25" x14ac:dyDescent="0.2">
      <c r="A239" s="15">
        <v>46012.541666666664</v>
      </c>
      <c r="B239" t="s">
        <v>43</v>
      </c>
      <c r="C239">
        <v>26</v>
      </c>
      <c r="D239" t="s">
        <v>25</v>
      </c>
      <c r="E239">
        <v>9</v>
      </c>
      <c r="F239">
        <f t="shared" si="12"/>
        <v>17</v>
      </c>
      <c r="G239">
        <v>0</v>
      </c>
      <c r="H239" s="16"/>
      <c r="I239" s="16"/>
      <c r="J239" s="16"/>
      <c r="K239" s="16"/>
      <c r="L239" s="17"/>
      <c r="W239" s="16" t="e">
        <f t="shared" si="13"/>
        <v>#DIV/0!</v>
      </c>
      <c r="X239" s="16" t="e">
        <f t="shared" si="14"/>
        <v>#DIV/0!</v>
      </c>
      <c r="Y239" s="1">
        <f t="shared" si="15"/>
        <v>17</v>
      </c>
    </row>
    <row r="240" spans="1:25" x14ac:dyDescent="0.2">
      <c r="A240" s="15">
        <v>46012.670138888891</v>
      </c>
      <c r="B240" t="s">
        <v>42</v>
      </c>
      <c r="C240">
        <v>20</v>
      </c>
      <c r="D240" t="s">
        <v>34</v>
      </c>
      <c r="E240">
        <v>34</v>
      </c>
      <c r="F240">
        <f t="shared" si="12"/>
        <v>-14</v>
      </c>
      <c r="G240">
        <v>0</v>
      </c>
      <c r="H240" s="16"/>
      <c r="I240" s="16"/>
      <c r="J240" s="16"/>
      <c r="K240" s="16"/>
      <c r="L240" s="17"/>
      <c r="W240" s="16" t="e">
        <f t="shared" si="13"/>
        <v>#DIV/0!</v>
      </c>
      <c r="X240" s="16" t="e">
        <f t="shared" si="14"/>
        <v>#DIV/0!</v>
      </c>
      <c r="Y240" s="1">
        <f t="shared" si="15"/>
        <v>-14</v>
      </c>
    </row>
    <row r="241" spans="1:25" x14ac:dyDescent="0.2">
      <c r="A241" s="15">
        <v>46012.670138888891</v>
      </c>
      <c r="B241" t="s">
        <v>41</v>
      </c>
      <c r="C241">
        <v>19</v>
      </c>
      <c r="D241" t="s">
        <v>32</v>
      </c>
      <c r="E241">
        <v>26</v>
      </c>
      <c r="F241">
        <f t="shared" si="12"/>
        <v>-7</v>
      </c>
      <c r="G241">
        <v>0</v>
      </c>
      <c r="H241" s="16"/>
      <c r="I241" s="16"/>
      <c r="J241" s="16"/>
      <c r="K241" s="16"/>
      <c r="L241" s="17"/>
      <c r="W241" s="16" t="e">
        <f t="shared" si="13"/>
        <v>#DIV/0!</v>
      </c>
      <c r="X241" s="16" t="e">
        <f t="shared" si="14"/>
        <v>#DIV/0!</v>
      </c>
      <c r="Y241" s="1">
        <f t="shared" si="15"/>
        <v>-7</v>
      </c>
    </row>
    <row r="242" spans="1:25" x14ac:dyDescent="0.2">
      <c r="A242" s="15">
        <v>46012.684027777781</v>
      </c>
      <c r="B242" t="s">
        <v>47</v>
      </c>
      <c r="C242">
        <v>24</v>
      </c>
      <c r="D242" t="s">
        <v>37</v>
      </c>
      <c r="E242">
        <v>29</v>
      </c>
      <c r="F242">
        <f t="shared" si="12"/>
        <v>-5</v>
      </c>
      <c r="G242">
        <v>0</v>
      </c>
      <c r="H242" s="16"/>
      <c r="I242" s="16"/>
      <c r="J242" s="16"/>
      <c r="K242" s="16"/>
      <c r="L242" s="17"/>
      <c r="W242" s="16" t="e">
        <f t="shared" si="13"/>
        <v>#DIV/0!</v>
      </c>
      <c r="X242" s="16" t="e">
        <f t="shared" si="14"/>
        <v>#DIV/0!</v>
      </c>
      <c r="Y242" s="1">
        <f t="shared" si="15"/>
        <v>-5</v>
      </c>
    </row>
    <row r="243" spans="1:25" x14ac:dyDescent="0.2">
      <c r="A243" s="15">
        <v>46012.684027777781</v>
      </c>
      <c r="B243" t="s">
        <v>49</v>
      </c>
      <c r="C243">
        <v>23</v>
      </c>
      <c r="D243" t="s">
        <v>39</v>
      </c>
      <c r="E243">
        <v>21</v>
      </c>
      <c r="F243">
        <f t="shared" si="12"/>
        <v>2</v>
      </c>
      <c r="G243">
        <v>0</v>
      </c>
      <c r="H243" s="16"/>
      <c r="I243" s="16"/>
      <c r="J243" s="16"/>
      <c r="K243" s="16"/>
      <c r="L243" s="17"/>
      <c r="W243" s="16" t="e">
        <f t="shared" si="13"/>
        <v>#DIV/0!</v>
      </c>
      <c r="X243" s="16" t="e">
        <f t="shared" si="14"/>
        <v>#DIV/0!</v>
      </c>
      <c r="Y243" s="1">
        <f t="shared" si="15"/>
        <v>2</v>
      </c>
    </row>
    <row r="244" spans="1:25" x14ac:dyDescent="0.2">
      <c r="A244" s="15">
        <v>46012.847222222219</v>
      </c>
      <c r="B244" t="s">
        <v>51</v>
      </c>
      <c r="C244">
        <v>24</v>
      </c>
      <c r="D244" t="s">
        <v>38</v>
      </c>
      <c r="E244">
        <v>28</v>
      </c>
      <c r="F244">
        <f t="shared" si="12"/>
        <v>-4</v>
      </c>
      <c r="G244">
        <v>0</v>
      </c>
      <c r="H244" s="16"/>
      <c r="I244" s="16"/>
      <c r="J244" s="16"/>
      <c r="K244" s="16"/>
      <c r="L244" s="17"/>
      <c r="W244" s="16" t="e">
        <f t="shared" si="13"/>
        <v>#DIV/0!</v>
      </c>
      <c r="X244" s="16" t="e">
        <f t="shared" si="14"/>
        <v>#DIV/0!</v>
      </c>
      <c r="Y244" s="1">
        <f t="shared" si="15"/>
        <v>-4</v>
      </c>
    </row>
    <row r="245" spans="1:25" x14ac:dyDescent="0.2">
      <c r="A245" s="15">
        <v>46013.84375</v>
      </c>
      <c r="B245" t="s">
        <v>28</v>
      </c>
      <c r="C245">
        <v>27</v>
      </c>
      <c r="D245" t="s">
        <v>45</v>
      </c>
      <c r="E245">
        <v>48</v>
      </c>
      <c r="F245">
        <f t="shared" si="12"/>
        <v>-21</v>
      </c>
      <c r="G245">
        <v>0</v>
      </c>
      <c r="H245" s="16"/>
      <c r="I245" s="16"/>
      <c r="J245" s="16"/>
      <c r="K245" s="16"/>
      <c r="L245" s="17"/>
      <c r="W245" s="16" t="e">
        <f t="shared" si="13"/>
        <v>#DIV/0!</v>
      </c>
      <c r="X245" s="16" t="e">
        <f t="shared" si="14"/>
        <v>#DIV/0!</v>
      </c>
      <c r="Y245" s="1">
        <f t="shared" si="15"/>
        <v>-21</v>
      </c>
    </row>
    <row r="246" spans="1:25" x14ac:dyDescent="0.2">
      <c r="A246" s="15">
        <v>46016.541666666664</v>
      </c>
      <c r="B246" t="s">
        <v>30</v>
      </c>
      <c r="C246">
        <v>23</v>
      </c>
      <c r="D246" t="s">
        <v>23</v>
      </c>
      <c r="E246">
        <v>30</v>
      </c>
      <c r="F246">
        <f t="shared" si="12"/>
        <v>-7</v>
      </c>
      <c r="G246">
        <v>0</v>
      </c>
      <c r="H246" s="16"/>
      <c r="I246" s="16"/>
      <c r="J246" s="16"/>
      <c r="K246" s="16"/>
      <c r="L246" s="17"/>
      <c r="W246" s="16" t="e">
        <f t="shared" si="13"/>
        <v>#DIV/0!</v>
      </c>
      <c r="X246" s="16" t="e">
        <f t="shared" si="14"/>
        <v>#DIV/0!</v>
      </c>
      <c r="Y246" s="1">
        <f t="shared" si="15"/>
        <v>-7</v>
      </c>
    </row>
    <row r="247" spans="1:25" x14ac:dyDescent="0.2">
      <c r="A247" s="15">
        <v>46016.6875</v>
      </c>
      <c r="B247" t="s">
        <v>53</v>
      </c>
      <c r="C247">
        <v>23</v>
      </c>
      <c r="D247" t="s">
        <v>47</v>
      </c>
      <c r="E247">
        <v>10</v>
      </c>
      <c r="F247">
        <f t="shared" si="12"/>
        <v>13</v>
      </c>
      <c r="G247">
        <v>0</v>
      </c>
      <c r="H247" s="16"/>
      <c r="I247" s="16"/>
      <c r="J247" s="16"/>
      <c r="K247" s="16"/>
      <c r="L247" s="17"/>
      <c r="W247" s="16" t="e">
        <f t="shared" si="13"/>
        <v>#DIV/0!</v>
      </c>
      <c r="X247" s="16" t="e">
        <f t="shared" si="14"/>
        <v>#DIV/0!</v>
      </c>
      <c r="Y247" s="1">
        <f t="shared" si="15"/>
        <v>13</v>
      </c>
    </row>
    <row r="248" spans="1:25" x14ac:dyDescent="0.2">
      <c r="A248" s="15">
        <v>46016.84375</v>
      </c>
      <c r="B248" t="s">
        <v>25</v>
      </c>
      <c r="C248">
        <v>13</v>
      </c>
      <c r="D248" t="s">
        <v>42</v>
      </c>
      <c r="E248">
        <v>20</v>
      </c>
      <c r="F248">
        <f t="shared" si="12"/>
        <v>-7</v>
      </c>
      <c r="G248">
        <v>0</v>
      </c>
      <c r="H248" s="16"/>
      <c r="I248" s="16"/>
      <c r="J248" s="16"/>
      <c r="K248" s="16"/>
      <c r="L248" s="17"/>
      <c r="W248" s="16" t="e">
        <f t="shared" si="13"/>
        <v>#DIV/0!</v>
      </c>
      <c r="X248" s="16" t="e">
        <f t="shared" si="14"/>
        <v>#DIV/0!</v>
      </c>
      <c r="Y248" s="1">
        <f t="shared" si="15"/>
        <v>-7</v>
      </c>
    </row>
    <row r="249" spans="1:25" x14ac:dyDescent="0.2">
      <c r="A249" s="15">
        <v>46018.6875</v>
      </c>
      <c r="B249" t="s">
        <v>24</v>
      </c>
      <c r="C249">
        <v>16</v>
      </c>
      <c r="D249" t="s">
        <v>49</v>
      </c>
      <c r="E249">
        <v>20</v>
      </c>
      <c r="F249">
        <f t="shared" si="12"/>
        <v>-4</v>
      </c>
      <c r="G249">
        <v>0</v>
      </c>
      <c r="H249" s="16"/>
      <c r="I249" s="16"/>
      <c r="J249" s="16"/>
      <c r="K249" s="16"/>
      <c r="L249" s="17"/>
      <c r="W249" s="16" t="e">
        <f t="shared" si="13"/>
        <v>#DIV/0!</v>
      </c>
      <c r="X249" s="16" t="e">
        <f t="shared" si="14"/>
        <v>#DIV/0!</v>
      </c>
      <c r="Y249" s="1">
        <f t="shared" si="15"/>
        <v>-4</v>
      </c>
    </row>
    <row r="250" spans="1:25" x14ac:dyDescent="0.2">
      <c r="A250" s="15">
        <v>46018.833333333336</v>
      </c>
      <c r="B250" t="s">
        <v>46</v>
      </c>
      <c r="C250">
        <v>24</v>
      </c>
      <c r="D250" t="s">
        <v>51</v>
      </c>
      <c r="E250">
        <v>41</v>
      </c>
      <c r="F250">
        <f t="shared" si="12"/>
        <v>-17</v>
      </c>
      <c r="G250">
        <v>0</v>
      </c>
      <c r="H250" s="16"/>
      <c r="I250" s="16"/>
      <c r="J250" s="16"/>
      <c r="K250" s="16"/>
      <c r="L250" s="17"/>
      <c r="W250" s="16" t="e">
        <f t="shared" si="13"/>
        <v>#DIV/0!</v>
      </c>
      <c r="X250" s="16" t="e">
        <f t="shared" si="14"/>
        <v>#DIV/0!</v>
      </c>
      <c r="Y250" s="1">
        <f t="shared" si="15"/>
        <v>-17</v>
      </c>
    </row>
    <row r="251" spans="1:25" x14ac:dyDescent="0.2">
      <c r="A251" s="15">
        <v>46019.541666666664</v>
      </c>
      <c r="B251" t="s">
        <v>27</v>
      </c>
      <c r="C251">
        <v>37</v>
      </c>
      <c r="D251" t="s">
        <v>41</v>
      </c>
      <c r="E251">
        <v>14</v>
      </c>
      <c r="F251">
        <f t="shared" si="12"/>
        <v>23</v>
      </c>
      <c r="G251">
        <v>0</v>
      </c>
      <c r="H251" s="16"/>
      <c r="I251" s="16"/>
      <c r="J251" s="16"/>
      <c r="K251" s="16"/>
      <c r="L251" s="17"/>
      <c r="W251" s="16" t="e">
        <f t="shared" si="13"/>
        <v>#DIV/0!</v>
      </c>
      <c r="X251" s="16" t="e">
        <f t="shared" si="14"/>
        <v>#DIV/0!</v>
      </c>
      <c r="Y251" s="1">
        <f t="shared" si="15"/>
        <v>23</v>
      </c>
    </row>
    <row r="252" spans="1:25" x14ac:dyDescent="0.2">
      <c r="A252" s="15">
        <v>46019.541666666664</v>
      </c>
      <c r="B252" t="s">
        <v>26</v>
      </c>
      <c r="C252">
        <v>13</v>
      </c>
      <c r="D252" t="s">
        <v>37</v>
      </c>
      <c r="E252">
        <v>6</v>
      </c>
      <c r="F252">
        <f t="shared" si="12"/>
        <v>7</v>
      </c>
      <c r="G252">
        <v>0</v>
      </c>
      <c r="H252" s="16"/>
      <c r="I252" s="16"/>
      <c r="J252" s="16"/>
      <c r="K252" s="16"/>
      <c r="L252" s="17"/>
      <c r="W252" s="16" t="e">
        <f t="shared" si="13"/>
        <v>#DIV/0!</v>
      </c>
      <c r="X252" s="16" t="e">
        <f t="shared" si="14"/>
        <v>#DIV/0!</v>
      </c>
      <c r="Y252" s="1">
        <f t="shared" si="15"/>
        <v>7</v>
      </c>
    </row>
    <row r="253" spans="1:25" x14ac:dyDescent="0.2">
      <c r="A253" s="15">
        <v>46019.541666666664</v>
      </c>
      <c r="B253" t="s">
        <v>28</v>
      </c>
      <c r="C253">
        <v>17</v>
      </c>
      <c r="D253" t="s">
        <v>34</v>
      </c>
      <c r="E253">
        <v>23</v>
      </c>
      <c r="F253">
        <f t="shared" si="12"/>
        <v>-6</v>
      </c>
      <c r="G253">
        <v>0</v>
      </c>
      <c r="H253" s="16"/>
      <c r="I253" s="16"/>
      <c r="J253" s="16"/>
      <c r="K253" s="16"/>
      <c r="L253" s="17"/>
      <c r="W253" s="16" t="e">
        <f t="shared" si="13"/>
        <v>#DIV/0!</v>
      </c>
      <c r="X253" s="16" t="e">
        <f t="shared" si="14"/>
        <v>#DIV/0!</v>
      </c>
      <c r="Y253" s="1">
        <f t="shared" si="15"/>
        <v>-6</v>
      </c>
    </row>
    <row r="254" spans="1:25" x14ac:dyDescent="0.2">
      <c r="A254" s="15">
        <v>46019.541666666664</v>
      </c>
      <c r="B254" t="s">
        <v>29</v>
      </c>
      <c r="C254">
        <v>20</v>
      </c>
      <c r="D254" t="s">
        <v>33</v>
      </c>
      <c r="E254">
        <v>17</v>
      </c>
      <c r="F254">
        <f t="shared" si="12"/>
        <v>3</v>
      </c>
      <c r="G254">
        <v>0</v>
      </c>
      <c r="H254" s="16"/>
      <c r="I254" s="16"/>
      <c r="J254" s="16"/>
      <c r="K254" s="16"/>
      <c r="L254" s="17"/>
      <c r="W254" s="16" t="e">
        <f t="shared" si="13"/>
        <v>#DIV/0!</v>
      </c>
      <c r="X254" s="16" t="e">
        <f t="shared" si="14"/>
        <v>#DIV/0!</v>
      </c>
      <c r="Y254" s="1">
        <f t="shared" si="15"/>
        <v>3</v>
      </c>
    </row>
    <row r="255" spans="1:25" x14ac:dyDescent="0.2">
      <c r="A255" s="15">
        <v>46019.541666666664</v>
      </c>
      <c r="B255" t="s">
        <v>36</v>
      </c>
      <c r="C255">
        <v>10</v>
      </c>
      <c r="D255" t="s">
        <v>38</v>
      </c>
      <c r="E255">
        <v>42</v>
      </c>
      <c r="F255">
        <f t="shared" si="12"/>
        <v>-32</v>
      </c>
      <c r="G255">
        <v>0</v>
      </c>
      <c r="H255" s="16"/>
      <c r="I255" s="16"/>
      <c r="J255" s="16"/>
      <c r="K255" s="16"/>
      <c r="L255" s="17"/>
      <c r="W255" s="16" t="e">
        <f t="shared" si="13"/>
        <v>#DIV/0!</v>
      </c>
      <c r="X255" s="16" t="e">
        <f t="shared" si="14"/>
        <v>#DIV/0!</v>
      </c>
      <c r="Y255" s="1">
        <f t="shared" si="15"/>
        <v>-32</v>
      </c>
    </row>
    <row r="256" spans="1:25" x14ac:dyDescent="0.2">
      <c r="A256" s="15">
        <v>46019.541666666664</v>
      </c>
      <c r="B256" t="s">
        <v>35</v>
      </c>
      <c r="C256">
        <v>10</v>
      </c>
      <c r="D256" t="s">
        <v>44</v>
      </c>
      <c r="E256">
        <v>27</v>
      </c>
      <c r="F256">
        <f t="shared" si="12"/>
        <v>-17</v>
      </c>
      <c r="G256">
        <v>0</v>
      </c>
      <c r="H256" s="16"/>
      <c r="I256" s="16"/>
      <c r="J256" s="16"/>
      <c r="K256" s="16"/>
      <c r="L256" s="17"/>
      <c r="W256" s="16" t="e">
        <f t="shared" si="13"/>
        <v>#DIV/0!</v>
      </c>
      <c r="X256" s="16" t="e">
        <f t="shared" si="14"/>
        <v>#DIV/0!</v>
      </c>
      <c r="Y256" s="1">
        <f t="shared" si="15"/>
        <v>-17</v>
      </c>
    </row>
    <row r="257" spans="1:25" x14ac:dyDescent="0.2">
      <c r="A257" s="15">
        <v>46019.541666666664</v>
      </c>
      <c r="B257" t="s">
        <v>43</v>
      </c>
      <c r="C257">
        <v>26</v>
      </c>
      <c r="D257" t="s">
        <v>40</v>
      </c>
      <c r="E257">
        <v>34</v>
      </c>
      <c r="F257">
        <f t="shared" si="12"/>
        <v>-8</v>
      </c>
      <c r="G257">
        <v>0</v>
      </c>
      <c r="H257" s="16"/>
      <c r="I257" s="16"/>
      <c r="J257" s="16"/>
      <c r="K257" s="16"/>
      <c r="L257" s="17"/>
      <c r="W257" s="16" t="e">
        <f t="shared" si="13"/>
        <v>#DIV/0!</v>
      </c>
      <c r="X257" s="16" t="e">
        <f t="shared" si="14"/>
        <v>#DIV/0!</v>
      </c>
      <c r="Y257" s="1">
        <f t="shared" si="15"/>
        <v>-8</v>
      </c>
    </row>
    <row r="258" spans="1:25" x14ac:dyDescent="0.2">
      <c r="A258" s="15">
        <v>46019.670138888891</v>
      </c>
      <c r="B258" t="s">
        <v>39</v>
      </c>
      <c r="C258">
        <v>10</v>
      </c>
      <c r="D258" t="s">
        <v>31</v>
      </c>
      <c r="E258">
        <v>34</v>
      </c>
      <c r="F258">
        <f t="shared" si="12"/>
        <v>-24</v>
      </c>
      <c r="G258">
        <v>0</v>
      </c>
      <c r="H258" s="16"/>
      <c r="I258" s="16"/>
      <c r="J258" s="16"/>
      <c r="K258" s="16"/>
      <c r="L258" s="17"/>
      <c r="W258" s="16" t="e">
        <f t="shared" si="13"/>
        <v>#DIV/0!</v>
      </c>
      <c r="X258" s="16" t="e">
        <f t="shared" si="14"/>
        <v>#DIV/0!</v>
      </c>
      <c r="Y258" s="1">
        <f t="shared" si="15"/>
        <v>-24</v>
      </c>
    </row>
    <row r="259" spans="1:25" x14ac:dyDescent="0.2">
      <c r="A259" s="15">
        <v>46019.684027777781</v>
      </c>
      <c r="B259" t="s">
        <v>50</v>
      </c>
      <c r="C259">
        <v>12</v>
      </c>
      <c r="D259" t="s">
        <v>22</v>
      </c>
      <c r="E259">
        <v>13</v>
      </c>
      <c r="F259">
        <f t="shared" si="12"/>
        <v>-1</v>
      </c>
      <c r="G259">
        <v>0</v>
      </c>
      <c r="H259" s="16"/>
      <c r="I259" s="16"/>
      <c r="J259" s="16"/>
      <c r="K259" s="16"/>
      <c r="L259" s="17"/>
      <c r="W259" s="16" t="e">
        <f t="shared" si="13"/>
        <v>#DIV/0!</v>
      </c>
      <c r="X259" s="16" t="e">
        <f t="shared" si="14"/>
        <v>#DIV/0!</v>
      </c>
      <c r="Y259" s="1">
        <f t="shared" si="15"/>
        <v>-1</v>
      </c>
    </row>
    <row r="260" spans="1:25" x14ac:dyDescent="0.2">
      <c r="A260" s="15">
        <v>46019.847222222219</v>
      </c>
      <c r="B260" t="s">
        <v>45</v>
      </c>
      <c r="C260">
        <v>42</v>
      </c>
      <c r="D260" t="s">
        <v>52</v>
      </c>
      <c r="E260">
        <v>38</v>
      </c>
      <c r="F260">
        <f t="shared" si="12"/>
        <v>4</v>
      </c>
      <c r="G260">
        <v>0</v>
      </c>
      <c r="H260" s="16"/>
      <c r="I260" s="16"/>
      <c r="J260" s="16"/>
      <c r="K260" s="16"/>
      <c r="L260" s="17"/>
      <c r="W260" s="16" t="e">
        <f t="shared" si="13"/>
        <v>#DIV/0!</v>
      </c>
      <c r="X260" s="16" t="e">
        <f t="shared" si="14"/>
        <v>#DIV/0!</v>
      </c>
      <c r="Y260" s="1">
        <f t="shared" si="15"/>
        <v>4</v>
      </c>
    </row>
    <row r="261" spans="1:25" x14ac:dyDescent="0.2">
      <c r="A261" s="15">
        <v>46020.84375</v>
      </c>
      <c r="B261" t="s">
        <v>32</v>
      </c>
      <c r="C261">
        <v>27</v>
      </c>
      <c r="D261" t="s">
        <v>48</v>
      </c>
      <c r="E261">
        <v>24</v>
      </c>
      <c r="F261" s="20">
        <f t="shared" si="12"/>
        <v>3</v>
      </c>
      <c r="G261" s="20">
        <v>0</v>
      </c>
      <c r="H261" s="21"/>
      <c r="I261" s="21"/>
      <c r="J261" s="21"/>
      <c r="K261" s="21"/>
      <c r="L261" s="22"/>
      <c r="W261" s="16" t="e">
        <f t="shared" si="13"/>
        <v>#DIV/0!</v>
      </c>
      <c r="X261" s="16" t="e">
        <f t="shared" si="14"/>
        <v>#DIV/0!</v>
      </c>
      <c r="Y261" s="1">
        <f t="shared" si="15"/>
        <v>3</v>
      </c>
    </row>
    <row r="262" spans="1:25" x14ac:dyDescent="0.2">
      <c r="A262" s="15">
        <v>46025.6875</v>
      </c>
      <c r="B262" t="s">
        <v>33</v>
      </c>
      <c r="C262">
        <v>16</v>
      </c>
      <c r="D262" t="s">
        <v>35</v>
      </c>
      <c r="E262">
        <v>14</v>
      </c>
      <c r="F262" s="20">
        <f t="shared" ref="F262:F277" si="16">C262-E262</f>
        <v>2</v>
      </c>
      <c r="G262" s="20">
        <v>0</v>
      </c>
      <c r="H262" s="21"/>
      <c r="I262" s="21"/>
      <c r="J262" s="21"/>
      <c r="K262" s="21"/>
      <c r="L262" s="22"/>
      <c r="W262" s="16" t="e">
        <f t="shared" si="13"/>
        <v>#DIV/0!</v>
      </c>
      <c r="X262" s="16" t="e">
        <f t="shared" si="14"/>
        <v>#DIV/0!</v>
      </c>
      <c r="Y262" s="1">
        <f t="shared" si="15"/>
        <v>2</v>
      </c>
    </row>
    <row r="263" spans="1:25" x14ac:dyDescent="0.2">
      <c r="A263" s="15">
        <v>46025.833333333336</v>
      </c>
      <c r="B263" t="s">
        <v>45</v>
      </c>
      <c r="C263">
        <v>3</v>
      </c>
      <c r="D263" t="s">
        <v>44</v>
      </c>
      <c r="E263">
        <v>13</v>
      </c>
      <c r="F263" s="20">
        <f t="shared" si="16"/>
        <v>-10</v>
      </c>
      <c r="G263" s="20">
        <v>0</v>
      </c>
      <c r="H263" s="21"/>
      <c r="I263" s="21"/>
      <c r="J263" s="21"/>
      <c r="K263" s="21"/>
      <c r="L263" s="22"/>
      <c r="W263" s="16" t="e">
        <f t="shared" ref="W263:W277" si="17">(H263+J263)/SUM(H263:J263)</f>
        <v>#DIV/0!</v>
      </c>
      <c r="X263" s="16" t="e">
        <f t="shared" ref="X263:X277" si="18">(W263-0.5)</f>
        <v>#DIV/0!</v>
      </c>
      <c r="Y263" s="1">
        <f t="shared" ref="Y263:Y277" si="19">F263</f>
        <v>-10</v>
      </c>
    </row>
    <row r="264" spans="1:25" x14ac:dyDescent="0.2">
      <c r="A264" s="15">
        <v>46026.541666666664</v>
      </c>
      <c r="B264" t="s">
        <v>27</v>
      </c>
      <c r="C264">
        <v>18</v>
      </c>
      <c r="D264" t="s">
        <v>26</v>
      </c>
      <c r="E264">
        <v>20</v>
      </c>
      <c r="F264" s="20">
        <f t="shared" si="16"/>
        <v>-2</v>
      </c>
      <c r="G264" s="20">
        <v>0</v>
      </c>
      <c r="H264" s="21"/>
      <c r="I264" s="21"/>
      <c r="J264" s="21"/>
      <c r="K264" s="21"/>
      <c r="L264" s="22"/>
      <c r="W264" s="16" t="e">
        <f t="shared" si="17"/>
        <v>#DIV/0!</v>
      </c>
      <c r="X264" s="16" t="e">
        <f t="shared" si="18"/>
        <v>#DIV/0!</v>
      </c>
      <c r="Y264" s="1">
        <f t="shared" si="19"/>
        <v>-2</v>
      </c>
    </row>
    <row r="265" spans="1:25" x14ac:dyDescent="0.2">
      <c r="A265" s="15">
        <v>46026.541666666664</v>
      </c>
      <c r="B265" t="s">
        <v>32</v>
      </c>
      <c r="C265">
        <v>19</v>
      </c>
      <c r="D265" t="s">
        <v>40</v>
      </c>
      <c r="E265">
        <v>17</v>
      </c>
      <c r="F265" s="20">
        <f t="shared" si="16"/>
        <v>2</v>
      </c>
      <c r="G265" s="20">
        <v>0</v>
      </c>
      <c r="H265" s="21"/>
      <c r="I265" s="21"/>
      <c r="J265" s="21"/>
      <c r="K265" s="21"/>
      <c r="L265" s="22"/>
      <c r="W265" s="16" t="e">
        <f t="shared" si="17"/>
        <v>#DIV/0!</v>
      </c>
      <c r="X265" s="16" t="e">
        <f t="shared" si="18"/>
        <v>#DIV/0!</v>
      </c>
      <c r="Y265" s="1">
        <f t="shared" si="19"/>
        <v>2</v>
      </c>
    </row>
    <row r="266" spans="1:25" x14ac:dyDescent="0.2">
      <c r="A266" s="15">
        <v>46026.541666666664</v>
      </c>
      <c r="B266" t="s">
        <v>31</v>
      </c>
      <c r="C266">
        <v>34</v>
      </c>
      <c r="D266" t="s">
        <v>23</v>
      </c>
      <c r="E266">
        <v>17</v>
      </c>
      <c r="F266" s="20">
        <f t="shared" si="16"/>
        <v>17</v>
      </c>
      <c r="G266" s="20">
        <v>0</v>
      </c>
      <c r="H266" s="21"/>
      <c r="I266" s="21"/>
      <c r="J266" s="21"/>
      <c r="K266" s="21"/>
      <c r="L266" s="22"/>
      <c r="W266" s="16" t="e">
        <f t="shared" si="17"/>
        <v>#DIV/0!</v>
      </c>
      <c r="X266" s="16" t="e">
        <f t="shared" si="18"/>
        <v>#DIV/0!</v>
      </c>
      <c r="Y266" s="1">
        <f t="shared" si="19"/>
        <v>17</v>
      </c>
    </row>
    <row r="267" spans="1:25" x14ac:dyDescent="0.2">
      <c r="A267" s="15">
        <v>46026.541666666664</v>
      </c>
      <c r="B267" t="s">
        <v>34</v>
      </c>
      <c r="C267">
        <v>41</v>
      </c>
      <c r="D267" t="s">
        <v>43</v>
      </c>
      <c r="E267">
        <v>7</v>
      </c>
      <c r="F267" s="20">
        <f t="shared" si="16"/>
        <v>34</v>
      </c>
      <c r="G267" s="20">
        <v>0</v>
      </c>
      <c r="H267" s="21"/>
      <c r="I267" s="21"/>
      <c r="J267" s="21"/>
      <c r="K267" s="21"/>
      <c r="L267" s="22"/>
      <c r="W267" s="16" t="e">
        <f t="shared" si="17"/>
        <v>#DIV/0!</v>
      </c>
      <c r="X267" s="16" t="e">
        <f t="shared" si="18"/>
        <v>#DIV/0!</v>
      </c>
      <c r="Y267" s="1">
        <f t="shared" si="19"/>
        <v>34</v>
      </c>
    </row>
    <row r="268" spans="1:25" x14ac:dyDescent="0.2">
      <c r="A268" s="15">
        <v>46026.541666666664</v>
      </c>
      <c r="B268" t="s">
        <v>49</v>
      </c>
      <c r="C268">
        <v>38</v>
      </c>
      <c r="D268" t="s">
        <v>28</v>
      </c>
      <c r="E268">
        <v>30</v>
      </c>
      <c r="F268" s="20">
        <f t="shared" si="16"/>
        <v>8</v>
      </c>
      <c r="G268" s="20">
        <v>0</v>
      </c>
      <c r="H268" s="21"/>
      <c r="I268" s="21"/>
      <c r="J268" s="21"/>
      <c r="K268" s="21"/>
      <c r="L268" s="22"/>
      <c r="W268" s="16" t="e">
        <f t="shared" si="17"/>
        <v>#DIV/0!</v>
      </c>
      <c r="X268" s="16" t="e">
        <f t="shared" si="18"/>
        <v>#DIV/0!</v>
      </c>
      <c r="Y268" s="1">
        <f t="shared" si="19"/>
        <v>8</v>
      </c>
    </row>
    <row r="269" spans="1:25" x14ac:dyDescent="0.2">
      <c r="A269" s="15">
        <v>46026.541666666664</v>
      </c>
      <c r="B269" t="s">
        <v>53</v>
      </c>
      <c r="C269">
        <v>16</v>
      </c>
      <c r="D269" t="s">
        <v>46</v>
      </c>
      <c r="E269">
        <v>3</v>
      </c>
      <c r="F269" s="20">
        <f t="shared" si="16"/>
        <v>13</v>
      </c>
      <c r="G269" s="20">
        <v>0</v>
      </c>
      <c r="H269" s="21"/>
      <c r="I269" s="21"/>
      <c r="J269" s="21"/>
      <c r="K269" s="21"/>
      <c r="L269" s="22"/>
      <c r="W269" s="16" t="e">
        <f t="shared" si="17"/>
        <v>#DIV/0!</v>
      </c>
      <c r="X269" s="16" t="e">
        <f t="shared" si="18"/>
        <v>#DIV/0!</v>
      </c>
      <c r="Y269" s="1">
        <f t="shared" si="19"/>
        <v>13</v>
      </c>
    </row>
    <row r="270" spans="1:25" x14ac:dyDescent="0.2">
      <c r="A270" s="15">
        <v>46026.684027777781</v>
      </c>
      <c r="B270" t="s">
        <v>52</v>
      </c>
      <c r="C270">
        <v>16</v>
      </c>
      <c r="D270" t="s">
        <v>47</v>
      </c>
      <c r="E270">
        <v>19</v>
      </c>
      <c r="F270" s="20">
        <f t="shared" si="16"/>
        <v>-3</v>
      </c>
      <c r="G270" s="20">
        <v>0</v>
      </c>
      <c r="H270" s="21"/>
      <c r="I270" s="21"/>
      <c r="J270" s="21"/>
      <c r="K270" s="21"/>
      <c r="L270" s="22"/>
      <c r="W270" s="16" t="e">
        <f t="shared" si="17"/>
        <v>#DIV/0!</v>
      </c>
      <c r="X270" s="16" t="e">
        <f t="shared" si="18"/>
        <v>#DIV/0!</v>
      </c>
      <c r="Y270" s="1">
        <f t="shared" si="19"/>
        <v>-3</v>
      </c>
    </row>
    <row r="271" spans="1:25" x14ac:dyDescent="0.2">
      <c r="A271" s="15">
        <v>46026.684027777781</v>
      </c>
      <c r="B271" t="s">
        <v>50</v>
      </c>
      <c r="C271">
        <v>35</v>
      </c>
      <c r="D271" t="s">
        <v>36</v>
      </c>
      <c r="E271">
        <v>8</v>
      </c>
      <c r="F271" s="20">
        <f t="shared" si="16"/>
        <v>27</v>
      </c>
      <c r="G271" s="20">
        <v>0</v>
      </c>
      <c r="H271" s="21"/>
      <c r="I271" s="21"/>
      <c r="J271" s="21"/>
      <c r="K271" s="21"/>
      <c r="L271" s="22"/>
      <c r="W271" s="16" t="e">
        <f t="shared" si="17"/>
        <v>#DIV/0!</v>
      </c>
      <c r="X271" s="16" t="e">
        <f t="shared" si="18"/>
        <v>#DIV/0!</v>
      </c>
      <c r="Y271" s="1">
        <f t="shared" si="19"/>
        <v>27</v>
      </c>
    </row>
    <row r="272" spans="1:25" x14ac:dyDescent="0.2">
      <c r="A272" s="15">
        <v>46026.684027777781</v>
      </c>
      <c r="B272" t="s">
        <v>42</v>
      </c>
      <c r="C272">
        <v>19</v>
      </c>
      <c r="D272" t="s">
        <v>24</v>
      </c>
      <c r="E272">
        <v>3</v>
      </c>
      <c r="F272" s="20">
        <f t="shared" si="16"/>
        <v>16</v>
      </c>
      <c r="G272" s="20">
        <v>0</v>
      </c>
      <c r="H272" s="21"/>
      <c r="I272" s="21"/>
      <c r="J272" s="21"/>
      <c r="K272" s="21"/>
      <c r="L272" s="22"/>
      <c r="W272" s="16" t="e">
        <f t="shared" si="17"/>
        <v>#DIV/0!</v>
      </c>
      <c r="X272" s="16" t="e">
        <f t="shared" si="18"/>
        <v>#DIV/0!</v>
      </c>
      <c r="Y272" s="1">
        <f t="shared" si="19"/>
        <v>16</v>
      </c>
    </row>
    <row r="273" spans="1:25" x14ac:dyDescent="0.2">
      <c r="A273" s="15">
        <v>46026.684027777781</v>
      </c>
      <c r="B273" t="s">
        <v>22</v>
      </c>
      <c r="C273">
        <v>17</v>
      </c>
      <c r="D273" t="s">
        <v>30</v>
      </c>
      <c r="E273">
        <v>24</v>
      </c>
      <c r="F273" s="20">
        <f t="shared" si="16"/>
        <v>-7</v>
      </c>
      <c r="G273" s="20">
        <v>0</v>
      </c>
      <c r="H273" s="21"/>
      <c r="I273" s="21"/>
      <c r="J273" s="21"/>
      <c r="K273" s="21"/>
      <c r="L273" s="22"/>
      <c r="W273" s="16" t="e">
        <f t="shared" si="17"/>
        <v>#DIV/0!</v>
      </c>
      <c r="X273" s="16" t="e">
        <f t="shared" si="18"/>
        <v>#DIV/0!</v>
      </c>
      <c r="Y273" s="1">
        <f t="shared" si="19"/>
        <v>-7</v>
      </c>
    </row>
    <row r="274" spans="1:25" x14ac:dyDescent="0.2">
      <c r="A274" s="15">
        <v>46026.684027777781</v>
      </c>
      <c r="B274" t="s">
        <v>38</v>
      </c>
      <c r="C274">
        <v>38</v>
      </c>
      <c r="D274" t="s">
        <v>29</v>
      </c>
      <c r="E274">
        <v>10</v>
      </c>
      <c r="F274" s="20">
        <f t="shared" si="16"/>
        <v>28</v>
      </c>
      <c r="G274" s="20">
        <v>0</v>
      </c>
      <c r="H274" s="21"/>
      <c r="I274" s="21"/>
      <c r="J274" s="21"/>
      <c r="K274" s="21"/>
      <c r="L274" s="22"/>
      <c r="W274" s="16" t="e">
        <f t="shared" si="17"/>
        <v>#DIV/0!</v>
      </c>
      <c r="X274" s="16" t="e">
        <f t="shared" si="18"/>
        <v>#DIV/0!</v>
      </c>
      <c r="Y274" s="1">
        <f t="shared" si="19"/>
        <v>28</v>
      </c>
    </row>
    <row r="275" spans="1:25" x14ac:dyDescent="0.2">
      <c r="A275" s="15">
        <v>46026.684027777781</v>
      </c>
      <c r="B275" t="s">
        <v>39</v>
      </c>
      <c r="C275">
        <v>14</v>
      </c>
      <c r="D275" t="s">
        <v>25</v>
      </c>
      <c r="E275">
        <v>12</v>
      </c>
      <c r="F275" s="20">
        <f t="shared" si="16"/>
        <v>2</v>
      </c>
      <c r="G275" s="20">
        <v>0</v>
      </c>
      <c r="H275" s="21"/>
      <c r="I275" s="21"/>
      <c r="J275" s="21"/>
      <c r="K275" s="21"/>
      <c r="L275" s="22"/>
      <c r="W275" s="16" t="e">
        <f t="shared" si="17"/>
        <v>#DIV/0!</v>
      </c>
      <c r="X275" s="16" t="e">
        <f t="shared" si="18"/>
        <v>#DIV/0!</v>
      </c>
      <c r="Y275" s="1">
        <f t="shared" si="19"/>
        <v>2</v>
      </c>
    </row>
    <row r="276" spans="1:25" x14ac:dyDescent="0.2">
      <c r="A276" s="15">
        <v>46026.684027777781</v>
      </c>
      <c r="B276" t="s">
        <v>48</v>
      </c>
      <c r="C276">
        <v>37</v>
      </c>
      <c r="D276" t="s">
        <v>41</v>
      </c>
      <c r="E276">
        <v>20</v>
      </c>
      <c r="F276" s="20">
        <f t="shared" si="16"/>
        <v>17</v>
      </c>
      <c r="G276" s="20">
        <v>0</v>
      </c>
      <c r="H276" s="21"/>
      <c r="I276" s="21"/>
      <c r="J276" s="21"/>
      <c r="K276" s="21"/>
      <c r="L276" s="22"/>
      <c r="W276" s="16" t="e">
        <f t="shared" si="17"/>
        <v>#DIV/0!</v>
      </c>
      <c r="X276" s="16" t="e">
        <f t="shared" si="18"/>
        <v>#DIV/0!</v>
      </c>
      <c r="Y276" s="1">
        <f t="shared" si="19"/>
        <v>17</v>
      </c>
    </row>
    <row r="277" spans="1:25" x14ac:dyDescent="0.2">
      <c r="A277" s="31">
        <v>46026.847222222219</v>
      </c>
      <c r="B277" s="32" t="s">
        <v>37</v>
      </c>
      <c r="C277" s="32">
        <v>26</v>
      </c>
      <c r="D277" s="32" t="s">
        <v>51</v>
      </c>
      <c r="E277" s="32">
        <v>24</v>
      </c>
      <c r="F277" s="23">
        <f t="shared" si="16"/>
        <v>2</v>
      </c>
      <c r="G277" s="23">
        <v>0</v>
      </c>
      <c r="H277" s="24"/>
      <c r="I277" s="24"/>
      <c r="J277" s="24"/>
      <c r="K277" s="24"/>
      <c r="L277" s="25"/>
      <c r="W277" s="16" t="e">
        <f t="shared" si="17"/>
        <v>#DIV/0!</v>
      </c>
      <c r="X277" s="16" t="e">
        <f t="shared" si="18"/>
        <v>#DIV/0!</v>
      </c>
      <c r="Y277" s="1">
        <f t="shared" si="19"/>
        <v>2</v>
      </c>
    </row>
    <row r="278" spans="1:25" x14ac:dyDescent="0.2">
      <c r="A278" s="1"/>
    </row>
    <row r="279" spans="1:25" x14ac:dyDescent="0.2">
      <c r="A279" s="1"/>
    </row>
    <row r="280" spans="1:25" x14ac:dyDescent="0.2">
      <c r="A280" s="1"/>
    </row>
    <row r="281" spans="1:25" x14ac:dyDescent="0.2">
      <c r="A281" s="1"/>
    </row>
    <row r="282" spans="1:25" x14ac:dyDescent="0.2">
      <c r="A282" s="1"/>
    </row>
    <row r="283" spans="1:25" x14ac:dyDescent="0.2">
      <c r="A283" s="1"/>
    </row>
    <row r="284" spans="1:25" x14ac:dyDescent="0.2">
      <c r="A284" s="1"/>
    </row>
    <row r="285" spans="1:25" x14ac:dyDescent="0.2">
      <c r="A285" s="1"/>
    </row>
    <row r="286" spans="1:25" x14ac:dyDescent="0.2">
      <c r="A286" s="1"/>
    </row>
    <row r="287" spans="1:25" x14ac:dyDescent="0.2">
      <c r="A287" s="1"/>
    </row>
    <row r="288" spans="1:25" x14ac:dyDescent="0.2">
      <c r="A288" s="1"/>
    </row>
    <row r="289" spans="1:14" x14ac:dyDescent="0.2">
      <c r="A289" s="1"/>
    </row>
    <row r="290" spans="1:14" x14ac:dyDescent="0.2">
      <c r="A290" s="1"/>
    </row>
    <row r="291" spans="1:14" x14ac:dyDescent="0.2">
      <c r="A291" s="1"/>
    </row>
    <row r="292" spans="1:14" x14ac:dyDescent="0.2">
      <c r="K292" s="16"/>
      <c r="M292"/>
      <c r="N292"/>
    </row>
    <row r="293" spans="1:14" x14ac:dyDescent="0.2">
      <c r="K293" s="16"/>
    </row>
  </sheetData>
  <sortState xmlns:xlrd2="http://schemas.microsoft.com/office/spreadsheetml/2017/richdata2" ref="X6:Z37">
    <sortCondition descending="1" ref="Z6:Z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D73A-E9F0-4BA7-8D58-64BE6CB9A7E9}">
  <dimension ref="C3:K37"/>
  <sheetViews>
    <sheetView topLeftCell="A2" zoomScale="125" zoomScaleNormal="125" workbookViewId="0">
      <selection activeCell="A20" sqref="A20"/>
    </sheetView>
  </sheetViews>
  <sheetFormatPr baseColWidth="10" defaultColWidth="8.83203125" defaultRowHeight="15" x14ac:dyDescent="0.2"/>
  <cols>
    <col min="4" max="4" width="12.83203125" customWidth="1"/>
    <col min="5" max="5" width="11" customWidth="1"/>
    <col min="10" max="10" width="17" bestFit="1" customWidth="1"/>
    <col min="11" max="11" width="10.5" bestFit="1" customWidth="1"/>
  </cols>
  <sheetData>
    <row r="3" spans="3:11" x14ac:dyDescent="0.2">
      <c r="C3" s="39" t="s">
        <v>75</v>
      </c>
      <c r="D3" s="1"/>
      <c r="E3" s="1"/>
      <c r="F3" s="1"/>
      <c r="G3" s="1"/>
      <c r="H3" s="1"/>
      <c r="I3" s="39" t="s">
        <v>76</v>
      </c>
      <c r="K3" s="1"/>
    </row>
    <row r="4" spans="3:11" x14ac:dyDescent="0.2">
      <c r="D4" s="1"/>
      <c r="E4" s="1"/>
      <c r="F4" s="1"/>
      <c r="G4" s="1"/>
      <c r="H4" s="1"/>
      <c r="I4" s="1"/>
      <c r="J4" s="1"/>
      <c r="K4" s="1"/>
    </row>
    <row r="5" spans="3:11" x14ac:dyDescent="0.2">
      <c r="C5" s="13" t="s">
        <v>77</v>
      </c>
      <c r="D5" s="11" t="s">
        <v>16</v>
      </c>
      <c r="E5" s="13" t="s">
        <v>56</v>
      </c>
      <c r="F5" s="13" t="s">
        <v>17</v>
      </c>
      <c r="G5" s="1"/>
      <c r="H5" s="1"/>
      <c r="I5" s="13" t="s">
        <v>77</v>
      </c>
      <c r="J5" s="11" t="s">
        <v>6</v>
      </c>
      <c r="K5" s="14" t="s">
        <v>18</v>
      </c>
    </row>
    <row r="6" spans="3:11" x14ac:dyDescent="0.2">
      <c r="C6" s="42">
        <v>1</v>
      </c>
      <c r="D6" s="20" t="s">
        <v>42</v>
      </c>
      <c r="E6" s="18" t="s">
        <v>60</v>
      </c>
      <c r="F6" s="19">
        <v>0.82352941176470584</v>
      </c>
      <c r="G6" s="1"/>
      <c r="H6" s="1"/>
      <c r="I6" s="18">
        <v>1</v>
      </c>
      <c r="J6" s="1" t="s">
        <v>44</v>
      </c>
      <c r="K6" s="19">
        <v>10</v>
      </c>
    </row>
    <row r="7" spans="3:11" x14ac:dyDescent="0.2">
      <c r="C7" s="42">
        <v>1</v>
      </c>
      <c r="D7" s="20" t="s">
        <v>38</v>
      </c>
      <c r="E7" s="18" t="s">
        <v>60</v>
      </c>
      <c r="F7" s="19">
        <v>0.82352941176470584</v>
      </c>
      <c r="G7" s="1"/>
      <c r="H7" s="1"/>
      <c r="I7" s="18">
        <v>2</v>
      </c>
      <c r="J7" s="1" t="s">
        <v>34</v>
      </c>
      <c r="K7" s="19">
        <v>6.3020282783709476</v>
      </c>
    </row>
    <row r="8" spans="3:11" x14ac:dyDescent="0.2">
      <c r="C8" s="43">
        <v>1</v>
      </c>
      <c r="D8" s="23" t="s">
        <v>44</v>
      </c>
      <c r="E8" s="40" t="s">
        <v>60</v>
      </c>
      <c r="F8" s="41">
        <v>0.82352941176470584</v>
      </c>
      <c r="G8" s="1"/>
      <c r="H8" s="1"/>
      <c r="I8" s="18">
        <v>3</v>
      </c>
      <c r="J8" s="1" t="s">
        <v>48</v>
      </c>
      <c r="K8" s="19">
        <v>5.1938601819796935</v>
      </c>
    </row>
    <row r="9" spans="3:11" x14ac:dyDescent="0.2">
      <c r="C9" s="42">
        <v>4</v>
      </c>
      <c r="D9" s="20" t="s">
        <v>34</v>
      </c>
      <c r="E9" s="18" t="s">
        <v>67</v>
      </c>
      <c r="F9" s="19">
        <v>0.76470588235294112</v>
      </c>
      <c r="G9" s="1"/>
      <c r="H9" s="1"/>
      <c r="I9" s="18">
        <v>4</v>
      </c>
      <c r="J9" s="1" t="s">
        <v>49</v>
      </c>
      <c r="K9" s="19">
        <v>5.0900514642134214</v>
      </c>
    </row>
    <row r="10" spans="3:11" x14ac:dyDescent="0.2">
      <c r="C10" s="42">
        <v>5</v>
      </c>
      <c r="D10" s="20" t="s">
        <v>45</v>
      </c>
      <c r="E10" s="35" t="s">
        <v>57</v>
      </c>
      <c r="F10" s="19">
        <v>0.70588235294117652</v>
      </c>
      <c r="G10" s="1"/>
      <c r="H10" s="1"/>
      <c r="I10" s="18">
        <v>5</v>
      </c>
      <c r="J10" s="1" t="s">
        <v>42</v>
      </c>
      <c r="K10" s="19">
        <v>5.0151195290702573</v>
      </c>
    </row>
    <row r="11" spans="3:11" x14ac:dyDescent="0.2">
      <c r="C11" s="42">
        <v>5</v>
      </c>
      <c r="D11" s="20" t="s">
        <v>50</v>
      </c>
      <c r="E11" s="18" t="s">
        <v>57</v>
      </c>
      <c r="F11" s="19">
        <v>0.70588235294117652</v>
      </c>
      <c r="G11" s="1"/>
      <c r="H11" s="1"/>
      <c r="I11" s="18">
        <v>6</v>
      </c>
      <c r="J11" s="1" t="s">
        <v>45</v>
      </c>
      <c r="K11" s="19">
        <v>4.8810994744775265</v>
      </c>
    </row>
    <row r="12" spans="3:11" x14ac:dyDescent="0.2">
      <c r="C12" s="42">
        <v>5</v>
      </c>
      <c r="D12" s="20" t="s">
        <v>48</v>
      </c>
      <c r="E12" s="18" t="s">
        <v>57</v>
      </c>
      <c r="F12" s="19">
        <v>0.70588235294117652</v>
      </c>
      <c r="G12" s="1"/>
      <c r="H12" s="1"/>
      <c r="I12" s="18">
        <v>7</v>
      </c>
      <c r="J12" s="1" t="s">
        <v>38</v>
      </c>
      <c r="K12" s="19">
        <v>3.9271043818744356</v>
      </c>
    </row>
    <row r="13" spans="3:11" x14ac:dyDescent="0.2">
      <c r="C13" s="42">
        <v>5</v>
      </c>
      <c r="D13" s="20" t="s">
        <v>49</v>
      </c>
      <c r="E13" s="18" t="s">
        <v>57</v>
      </c>
      <c r="F13" s="19">
        <v>0.70588235294117652</v>
      </c>
      <c r="G13" s="1"/>
      <c r="H13" s="1"/>
      <c r="I13" s="18">
        <v>8</v>
      </c>
      <c r="J13" s="1" t="s">
        <v>50</v>
      </c>
      <c r="K13" s="19">
        <v>2.6524785011354015</v>
      </c>
    </row>
    <row r="14" spans="3:11" x14ac:dyDescent="0.2">
      <c r="C14" s="42">
        <v>9</v>
      </c>
      <c r="D14" s="20" t="s">
        <v>52</v>
      </c>
      <c r="E14" s="18" t="s">
        <v>58</v>
      </c>
      <c r="F14" s="19">
        <v>0.6470588235294118</v>
      </c>
      <c r="G14" s="1"/>
      <c r="H14" s="1"/>
      <c r="I14" s="18">
        <v>9</v>
      </c>
      <c r="J14" s="1" t="s">
        <v>24</v>
      </c>
      <c r="K14" s="19">
        <v>2.0323727439173598</v>
      </c>
    </row>
    <row r="15" spans="3:11" x14ac:dyDescent="0.2">
      <c r="C15" s="42">
        <v>9</v>
      </c>
      <c r="D15" s="20" t="s">
        <v>24</v>
      </c>
      <c r="E15" s="18" t="s">
        <v>58</v>
      </c>
      <c r="F15" s="19">
        <v>0.6470588235294118</v>
      </c>
      <c r="G15" s="1"/>
      <c r="H15" s="1"/>
      <c r="I15" s="18">
        <v>10</v>
      </c>
      <c r="J15" s="1" t="s">
        <v>22</v>
      </c>
      <c r="K15" s="19">
        <v>1.8623748466213208</v>
      </c>
    </row>
    <row r="16" spans="3:11" x14ac:dyDescent="0.2">
      <c r="C16" s="42">
        <v>9</v>
      </c>
      <c r="D16" s="20" t="s">
        <v>22</v>
      </c>
      <c r="E16" s="18" t="s">
        <v>58</v>
      </c>
      <c r="F16" s="19">
        <v>0.6470588235294118</v>
      </c>
      <c r="G16" s="1"/>
      <c r="H16" s="1"/>
      <c r="I16" s="18">
        <v>11</v>
      </c>
      <c r="J16" s="1" t="s">
        <v>52</v>
      </c>
      <c r="K16" s="19">
        <v>1.6231248910940002</v>
      </c>
    </row>
    <row r="17" spans="3:11" x14ac:dyDescent="0.2">
      <c r="C17" s="42">
        <v>12</v>
      </c>
      <c r="D17" s="20" t="s">
        <v>37</v>
      </c>
      <c r="E17" s="18" t="s">
        <v>70</v>
      </c>
      <c r="F17" s="19">
        <v>0.58823529411764708</v>
      </c>
      <c r="G17" s="1"/>
      <c r="H17" s="1"/>
      <c r="I17" s="18">
        <v>12</v>
      </c>
      <c r="J17" s="1" t="s">
        <v>37</v>
      </c>
      <c r="K17" s="19">
        <v>1.5774080225130631</v>
      </c>
    </row>
    <row r="18" spans="3:11" x14ac:dyDescent="0.2">
      <c r="C18" s="42">
        <v>13</v>
      </c>
      <c r="D18" s="20" t="s">
        <v>46</v>
      </c>
      <c r="E18" s="18" t="s">
        <v>69</v>
      </c>
      <c r="F18" s="19">
        <v>0.55882352941176472</v>
      </c>
      <c r="G18" s="1"/>
      <c r="H18" s="1"/>
      <c r="I18" s="18">
        <v>13</v>
      </c>
      <c r="J18" s="1" t="s">
        <v>28</v>
      </c>
      <c r="K18" s="19">
        <v>1.4088080306992539</v>
      </c>
    </row>
    <row r="19" spans="3:11" x14ac:dyDescent="0.2">
      <c r="C19" s="42">
        <v>14</v>
      </c>
      <c r="D19" s="20" t="s">
        <v>47</v>
      </c>
      <c r="E19" s="18" t="s">
        <v>68</v>
      </c>
      <c r="F19" s="19">
        <v>0.52941176470588236</v>
      </c>
      <c r="G19" s="1"/>
      <c r="H19" s="1"/>
      <c r="I19" s="18">
        <v>14</v>
      </c>
      <c r="J19" s="1" t="s">
        <v>33</v>
      </c>
      <c r="K19" s="19">
        <v>1.2581182309277914</v>
      </c>
    </row>
    <row r="20" spans="3:11" x14ac:dyDescent="0.2">
      <c r="C20" s="42">
        <v>14</v>
      </c>
      <c r="D20" s="20" t="s">
        <v>53</v>
      </c>
      <c r="E20" s="18" t="s">
        <v>68</v>
      </c>
      <c r="F20" s="19">
        <v>0.52941176470588236</v>
      </c>
      <c r="G20" s="1"/>
      <c r="H20" s="1"/>
      <c r="I20" s="18">
        <v>15</v>
      </c>
      <c r="J20" s="1" t="s">
        <v>53</v>
      </c>
      <c r="K20" s="19">
        <v>1.2006824421682156</v>
      </c>
    </row>
    <row r="21" spans="3:11" x14ac:dyDescent="0.2">
      <c r="C21" s="42">
        <v>16</v>
      </c>
      <c r="D21" s="20" t="s">
        <v>33</v>
      </c>
      <c r="E21" s="18" t="s">
        <v>62</v>
      </c>
      <c r="F21" s="19">
        <v>0.47058823529411764</v>
      </c>
      <c r="G21" s="1"/>
      <c r="H21" s="1"/>
      <c r="I21" s="18">
        <v>16</v>
      </c>
      <c r="J21" s="1" t="s">
        <v>35</v>
      </c>
      <c r="K21" s="19">
        <v>1.1425359600499025</v>
      </c>
    </row>
    <row r="22" spans="3:11" x14ac:dyDescent="0.2">
      <c r="C22" s="42">
        <v>16</v>
      </c>
      <c r="D22" s="20" t="s">
        <v>28</v>
      </c>
      <c r="E22" s="18" t="s">
        <v>62</v>
      </c>
      <c r="F22" s="19">
        <v>0.47058823529411764</v>
      </c>
      <c r="G22" s="1"/>
      <c r="H22" s="1"/>
      <c r="I22" s="18">
        <v>17</v>
      </c>
      <c r="J22" s="1" t="s">
        <v>32</v>
      </c>
      <c r="K22" s="19">
        <v>1.075314990142292</v>
      </c>
    </row>
    <row r="23" spans="3:11" x14ac:dyDescent="0.2">
      <c r="C23" s="42">
        <v>16</v>
      </c>
      <c r="D23" s="20" t="s">
        <v>32</v>
      </c>
      <c r="E23" s="18" t="s">
        <v>62</v>
      </c>
      <c r="F23" s="19">
        <v>0.47058823529411764</v>
      </c>
      <c r="G23" s="1"/>
      <c r="H23" s="1"/>
      <c r="I23" s="18">
        <v>18</v>
      </c>
      <c r="J23" s="1" t="s">
        <v>47</v>
      </c>
      <c r="K23" s="19">
        <v>1.0575263880236678</v>
      </c>
    </row>
    <row r="24" spans="3:11" x14ac:dyDescent="0.2">
      <c r="C24" s="42">
        <v>16</v>
      </c>
      <c r="D24" s="20" t="s">
        <v>35</v>
      </c>
      <c r="E24" s="18" t="s">
        <v>62</v>
      </c>
      <c r="F24" s="19">
        <v>0.47058823529411764</v>
      </c>
      <c r="G24" s="1"/>
      <c r="H24" s="1"/>
      <c r="I24" s="18">
        <v>19</v>
      </c>
      <c r="J24" s="1" t="s">
        <v>46</v>
      </c>
      <c r="K24" s="19">
        <v>1.0383794975721798</v>
      </c>
    </row>
    <row r="25" spans="3:11" x14ac:dyDescent="0.2">
      <c r="C25" s="42">
        <v>16</v>
      </c>
      <c r="D25" s="20" t="s">
        <v>51</v>
      </c>
      <c r="E25" s="18" t="s">
        <v>62</v>
      </c>
      <c r="F25" s="19">
        <v>0.47058823529411764</v>
      </c>
      <c r="G25" s="1"/>
      <c r="H25" s="1"/>
      <c r="I25" s="18">
        <v>20</v>
      </c>
      <c r="J25" s="1" t="s">
        <v>51</v>
      </c>
      <c r="K25" s="19">
        <v>0.95793434318563897</v>
      </c>
    </row>
    <row r="26" spans="3:11" x14ac:dyDescent="0.2">
      <c r="C26" s="42">
        <v>21</v>
      </c>
      <c r="D26" s="20" t="s">
        <v>23</v>
      </c>
      <c r="E26" s="18" t="s">
        <v>64</v>
      </c>
      <c r="F26" s="19">
        <v>0.44117647058823528</v>
      </c>
      <c r="G26" s="1"/>
      <c r="H26" s="1"/>
      <c r="I26" s="18">
        <v>21</v>
      </c>
      <c r="J26" s="1" t="s">
        <v>29</v>
      </c>
      <c r="K26" s="19">
        <v>0.59829010751820855</v>
      </c>
    </row>
    <row r="27" spans="3:11" x14ac:dyDescent="0.2">
      <c r="C27" s="42">
        <v>22</v>
      </c>
      <c r="D27" s="20" t="s">
        <v>29</v>
      </c>
      <c r="E27" s="18" t="s">
        <v>65</v>
      </c>
      <c r="F27" s="19">
        <v>0.41176470588235292</v>
      </c>
      <c r="G27" s="1"/>
      <c r="H27" s="1"/>
      <c r="I27" s="18">
        <v>22</v>
      </c>
      <c r="J27" s="1" t="s">
        <v>23</v>
      </c>
      <c r="K27" s="19">
        <v>0.57192114062579358</v>
      </c>
    </row>
    <row r="28" spans="3:11" x14ac:dyDescent="0.2">
      <c r="C28" s="42">
        <v>23</v>
      </c>
      <c r="D28" s="20" t="s">
        <v>27</v>
      </c>
      <c r="E28" s="18" t="s">
        <v>59</v>
      </c>
      <c r="F28" s="19">
        <v>0.35294117647058826</v>
      </c>
      <c r="G28" s="1"/>
      <c r="H28" s="1"/>
      <c r="I28" s="18">
        <v>23</v>
      </c>
      <c r="J28" s="1" t="s">
        <v>40</v>
      </c>
      <c r="K28" s="19">
        <v>0.55527793641622269</v>
      </c>
    </row>
    <row r="29" spans="3:11" x14ac:dyDescent="0.2">
      <c r="C29" s="42">
        <v>23</v>
      </c>
      <c r="D29" s="20" t="s">
        <v>25</v>
      </c>
      <c r="E29" s="18" t="s">
        <v>59</v>
      </c>
      <c r="F29" s="19">
        <v>0.35294117647058826</v>
      </c>
      <c r="G29" s="1"/>
      <c r="H29" s="1"/>
      <c r="I29" s="18">
        <v>24</v>
      </c>
      <c r="J29" s="1" t="s">
        <v>27</v>
      </c>
      <c r="K29" s="19">
        <v>0.52998295880809088</v>
      </c>
    </row>
    <row r="30" spans="3:11" x14ac:dyDescent="0.2">
      <c r="C30" s="42">
        <v>23</v>
      </c>
      <c r="D30" s="20" t="s">
        <v>40</v>
      </c>
      <c r="E30" s="18" t="s">
        <v>59</v>
      </c>
      <c r="F30" s="19">
        <v>0.35294117647058826</v>
      </c>
      <c r="G30" s="1"/>
      <c r="H30" s="1"/>
      <c r="I30" s="18">
        <v>25</v>
      </c>
      <c r="J30" s="1" t="s">
        <v>25</v>
      </c>
      <c r="K30" s="19">
        <v>0.40697363468361869</v>
      </c>
    </row>
    <row r="31" spans="3:11" x14ac:dyDescent="0.2">
      <c r="C31" s="42">
        <v>26</v>
      </c>
      <c r="D31" s="20" t="s">
        <v>26</v>
      </c>
      <c r="E31" s="18" t="s">
        <v>61</v>
      </c>
      <c r="F31" s="19">
        <v>0.29411764705882354</v>
      </c>
      <c r="G31" s="1"/>
      <c r="H31" s="1"/>
      <c r="I31" s="18">
        <v>26</v>
      </c>
      <c r="J31" s="1" t="s">
        <v>30</v>
      </c>
      <c r="K31" s="19">
        <v>0.33427790244463379</v>
      </c>
    </row>
    <row r="32" spans="3:11" x14ac:dyDescent="0.2">
      <c r="C32" s="42">
        <v>26</v>
      </c>
      <c r="D32" s="20" t="s">
        <v>30</v>
      </c>
      <c r="E32" s="18" t="s">
        <v>61</v>
      </c>
      <c r="F32" s="19">
        <v>0.29411764705882354</v>
      </c>
      <c r="G32" s="1"/>
      <c r="H32" s="1"/>
      <c r="I32" s="18">
        <v>27</v>
      </c>
      <c r="J32" s="1" t="s">
        <v>41</v>
      </c>
      <c r="K32" s="19">
        <v>0.30859105582887131</v>
      </c>
    </row>
    <row r="33" spans="3:11" x14ac:dyDescent="0.2">
      <c r="C33" s="43">
        <v>28</v>
      </c>
      <c r="D33" s="23" t="s">
        <v>31</v>
      </c>
      <c r="E33" s="40" t="s">
        <v>66</v>
      </c>
      <c r="F33" s="41">
        <v>0.23529411764705882</v>
      </c>
      <c r="G33" s="1"/>
      <c r="H33" s="1"/>
      <c r="I33" s="18">
        <v>28</v>
      </c>
      <c r="J33" s="1" t="s">
        <v>26</v>
      </c>
      <c r="K33" s="19">
        <v>0.30207336524903677</v>
      </c>
    </row>
    <row r="34" spans="3:11" x14ac:dyDescent="0.2">
      <c r="C34" s="42">
        <v>29</v>
      </c>
      <c r="D34" s="20" t="s">
        <v>41</v>
      </c>
      <c r="E34" s="18" t="s">
        <v>63</v>
      </c>
      <c r="F34" s="19">
        <v>0.17647058823529413</v>
      </c>
      <c r="G34" s="1"/>
      <c r="H34" s="1"/>
      <c r="I34" s="18">
        <v>29</v>
      </c>
      <c r="J34" s="1" t="s">
        <v>43</v>
      </c>
      <c r="K34" s="19">
        <v>0.26693941107519753</v>
      </c>
    </row>
    <row r="35" spans="3:11" x14ac:dyDescent="0.2">
      <c r="C35" s="42">
        <v>29</v>
      </c>
      <c r="D35" s="20" t="s">
        <v>36</v>
      </c>
      <c r="E35" s="18" t="s">
        <v>63</v>
      </c>
      <c r="F35" s="19">
        <v>0.17647058823529413</v>
      </c>
      <c r="G35" s="1"/>
      <c r="H35" s="1"/>
      <c r="I35" s="18">
        <v>30</v>
      </c>
      <c r="J35" s="1" t="s">
        <v>31</v>
      </c>
      <c r="K35" s="19">
        <v>0.18540362767127797</v>
      </c>
    </row>
    <row r="36" spans="3:11" x14ac:dyDescent="0.2">
      <c r="C36" s="42">
        <v>29</v>
      </c>
      <c r="D36" s="20" t="s">
        <v>39</v>
      </c>
      <c r="E36" s="18" t="s">
        <v>63</v>
      </c>
      <c r="F36" s="19">
        <v>0.17647058823529413</v>
      </c>
      <c r="G36" s="1"/>
      <c r="H36" s="1"/>
      <c r="I36" s="18">
        <v>31</v>
      </c>
      <c r="J36" s="1" t="s">
        <v>36</v>
      </c>
      <c r="K36" s="19">
        <v>0.17233964267276192</v>
      </c>
    </row>
    <row r="37" spans="3:11" x14ac:dyDescent="0.2">
      <c r="C37" s="42">
        <v>29</v>
      </c>
      <c r="D37" s="20" t="s">
        <v>43</v>
      </c>
      <c r="E37" s="18" t="s">
        <v>63</v>
      </c>
      <c r="F37" s="19">
        <v>0.17647058823529413</v>
      </c>
      <c r="G37" s="1"/>
      <c r="H37" s="1"/>
      <c r="I37" s="18">
        <v>32</v>
      </c>
      <c r="J37" s="1" t="s">
        <v>39</v>
      </c>
      <c r="K37" s="19">
        <v>0.13055187366110824</v>
      </c>
    </row>
  </sheetData>
  <pageMargins left="0.7" right="0.7" top="0.75" bottom="0.75" header="0.3" footer="0.3"/>
  <ignoredErrors>
    <ignoredError sqref="E10:E37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74B8-3DE2-4E75-AC64-103088C6C069}">
  <dimension ref="B2:W20"/>
  <sheetViews>
    <sheetView zoomScale="120" zoomScaleNormal="120" workbookViewId="0"/>
  </sheetViews>
  <sheetFormatPr baseColWidth="10" defaultColWidth="8.83203125" defaultRowHeight="15" x14ac:dyDescent="0.2"/>
  <cols>
    <col min="2" max="2" width="10" bestFit="1" customWidth="1"/>
    <col min="3" max="3" width="12.83203125" customWidth="1"/>
    <col min="4" max="4" width="12.6640625" customWidth="1"/>
    <col min="5" max="5" width="10.5" customWidth="1"/>
    <col min="6" max="6" width="11" customWidth="1"/>
    <col min="7" max="8" width="10.83203125" customWidth="1"/>
    <col min="9" max="10" width="11.5" customWidth="1"/>
    <col min="11" max="11" width="9.33203125" bestFit="1" customWidth="1"/>
    <col min="12" max="12" width="12.33203125" customWidth="1"/>
    <col min="13" max="13" width="12.5" customWidth="1"/>
    <col min="14" max="14" width="15.5" customWidth="1"/>
    <col min="15" max="15" width="9.6640625" customWidth="1"/>
    <col min="16" max="16" width="15.5" customWidth="1"/>
    <col min="17" max="17" width="8.1640625" customWidth="1"/>
    <col min="18" max="18" width="9.33203125" bestFit="1" customWidth="1"/>
    <col min="21" max="21" width="9.33203125" bestFit="1" customWidth="1"/>
  </cols>
  <sheetData>
    <row r="2" spans="2:23" ht="27" x14ac:dyDescent="0.35">
      <c r="B2" s="48" t="s">
        <v>82</v>
      </c>
    </row>
    <row r="4" spans="2:23" x14ac:dyDescent="0.2">
      <c r="B4" s="10" t="s">
        <v>5</v>
      </c>
      <c r="C4" s="11" t="s">
        <v>6</v>
      </c>
      <c r="D4" s="13" t="s">
        <v>7</v>
      </c>
      <c r="E4" s="11" t="s">
        <v>8</v>
      </c>
      <c r="F4" s="13" t="s">
        <v>9</v>
      </c>
      <c r="G4" s="33" t="s">
        <v>54</v>
      </c>
      <c r="H4" s="12" t="s">
        <v>11</v>
      </c>
      <c r="I4" s="29" t="s">
        <v>12</v>
      </c>
      <c r="J4" s="29" t="s">
        <v>13</v>
      </c>
      <c r="K4" s="29" t="s">
        <v>14</v>
      </c>
      <c r="L4" s="29" t="s">
        <v>85</v>
      </c>
      <c r="M4" s="46" t="s">
        <v>73</v>
      </c>
      <c r="N4" s="45" t="s">
        <v>71</v>
      </c>
      <c r="O4" s="46" t="s">
        <v>10</v>
      </c>
      <c r="P4" s="49" t="s">
        <v>72</v>
      </c>
      <c r="Q4" s="57" t="s">
        <v>10</v>
      </c>
      <c r="R4" s="11" t="s">
        <v>84</v>
      </c>
      <c r="T4" s="51" t="s">
        <v>83</v>
      </c>
      <c r="U4" s="52"/>
    </row>
    <row r="5" spans="2:23" x14ac:dyDescent="0.2">
      <c r="B5" s="26">
        <v>46032.6875</v>
      </c>
      <c r="C5" s="27" t="s">
        <v>35</v>
      </c>
      <c r="D5" s="36">
        <v>31</v>
      </c>
      <c r="E5" s="27" t="s">
        <v>48</v>
      </c>
      <c r="F5" s="36">
        <v>34</v>
      </c>
      <c r="G5" s="27">
        <f t="shared" ref="G5:G17" si="0">D5-F5</f>
        <v>-3</v>
      </c>
      <c r="H5" s="27">
        <v>0</v>
      </c>
      <c r="I5" s="28">
        <f>VLOOKUP(C5,'Power Function Model'!$O$6:$P$38,2,FALSE)</f>
        <v>5</v>
      </c>
      <c r="J5" s="28">
        <f>VLOOKUP(E5,'Power Function Model'!$O$6:$P$38,2,FALSE)</f>
        <v>5</v>
      </c>
      <c r="K5" s="28">
        <f>'Power Function Model'!$P$38</f>
        <v>5</v>
      </c>
      <c r="L5" s="28">
        <f>(I5+K5)/SUM(I5:K5)</f>
        <v>0.66666666666666663</v>
      </c>
      <c r="M5" s="37">
        <f t="shared" ref="M5:M17" si="1">IF(L5&gt;0.5,L5,1-L5)</f>
        <v>0.66666666666666663</v>
      </c>
      <c r="N5" s="38" t="str">
        <f t="shared" ref="N5:N17" si="2">IF(L5&gt;0.5,C5,E5)</f>
        <v>Panthers</v>
      </c>
      <c r="O5" s="47">
        <f t="shared" ref="O5:O17" si="3" xml:space="preserve"> -$U$5 + $U$6*M5</f>
        <v>4.8879616390268765</v>
      </c>
      <c r="P5" s="28" t="s">
        <v>48</v>
      </c>
      <c r="Q5" s="58">
        <f>ABS(G5)</f>
        <v>3</v>
      </c>
      <c r="R5" s="1">
        <f t="shared" ref="R5:R17" si="4">IF(N5=P5,1,0)</f>
        <v>0</v>
      </c>
      <c r="T5" s="53" t="s">
        <v>80</v>
      </c>
      <c r="U5" s="54">
        <v>14.663884917080637</v>
      </c>
      <c r="V5" s="1"/>
      <c r="W5" s="1"/>
    </row>
    <row r="6" spans="2:23" x14ac:dyDescent="0.2">
      <c r="B6" s="26">
        <v>46032.833333333336</v>
      </c>
      <c r="C6" s="27" t="s">
        <v>52</v>
      </c>
      <c r="D6" s="36">
        <v>31</v>
      </c>
      <c r="E6" s="27" t="s">
        <v>46</v>
      </c>
      <c r="F6" s="36">
        <v>27</v>
      </c>
      <c r="G6" s="27">
        <f t="shared" si="0"/>
        <v>4</v>
      </c>
      <c r="H6" s="27">
        <v>0</v>
      </c>
      <c r="I6" s="28">
        <f>VLOOKUP(C6,'Power Function Model'!$O$6:$P$38,2,FALSE)</f>
        <v>5</v>
      </c>
      <c r="J6" s="28">
        <f>VLOOKUP(E6,'Power Function Model'!$O$6:$P$38,2,FALSE)</f>
        <v>5</v>
      </c>
      <c r="K6" s="28">
        <f>'Power Function Model'!$P$38</f>
        <v>5</v>
      </c>
      <c r="L6" s="28">
        <f t="shared" ref="L6:L17" si="5">(I6+K6)/SUM(I6:K6)</f>
        <v>0.66666666666666663</v>
      </c>
      <c r="M6" s="37">
        <f t="shared" si="1"/>
        <v>0.66666666666666663</v>
      </c>
      <c r="N6" s="38" t="str">
        <f t="shared" si="2"/>
        <v>Bears</v>
      </c>
      <c r="O6" s="47">
        <f t="shared" si="3"/>
        <v>4.8879616390268765</v>
      </c>
      <c r="P6" s="28" t="s">
        <v>52</v>
      </c>
      <c r="Q6" s="58">
        <f t="shared" ref="Q6:Q17" si="6">ABS(G6)</f>
        <v>4</v>
      </c>
      <c r="R6" s="1">
        <f t="shared" si="4"/>
        <v>1</v>
      </c>
      <c r="T6" s="55" t="s">
        <v>81</v>
      </c>
      <c r="U6" s="56">
        <v>29.327769834161273</v>
      </c>
      <c r="V6" s="1"/>
      <c r="W6" s="1"/>
    </row>
    <row r="7" spans="2:23" x14ac:dyDescent="0.2">
      <c r="B7" s="26">
        <v>46033.541666666664</v>
      </c>
      <c r="C7" s="27" t="s">
        <v>34</v>
      </c>
      <c r="D7" s="36">
        <v>24</v>
      </c>
      <c r="E7" s="27" t="s">
        <v>50</v>
      </c>
      <c r="F7" s="36">
        <v>27</v>
      </c>
      <c r="G7" s="27">
        <f t="shared" si="0"/>
        <v>-3</v>
      </c>
      <c r="H7" s="27">
        <v>0</v>
      </c>
      <c r="I7" s="28">
        <f>VLOOKUP(C7,'Power Function Model'!$O$6:$P$38,2,FALSE)</f>
        <v>5</v>
      </c>
      <c r="J7" s="28">
        <f>VLOOKUP(E7,'Power Function Model'!$O$6:$P$38,2,FALSE)</f>
        <v>5</v>
      </c>
      <c r="K7" s="28">
        <f>'Power Function Model'!$P$38</f>
        <v>5</v>
      </c>
      <c r="L7" s="28">
        <f t="shared" si="5"/>
        <v>0.66666666666666663</v>
      </c>
      <c r="M7" s="37">
        <f t="shared" si="1"/>
        <v>0.66666666666666663</v>
      </c>
      <c r="N7" s="38" t="str">
        <f t="shared" si="2"/>
        <v>Jaguars</v>
      </c>
      <c r="O7" s="47">
        <f t="shared" si="3"/>
        <v>4.8879616390268765</v>
      </c>
      <c r="P7" s="28" t="s">
        <v>50</v>
      </c>
      <c r="Q7" s="58">
        <f t="shared" si="6"/>
        <v>3</v>
      </c>
      <c r="R7" s="1">
        <f t="shared" si="4"/>
        <v>0</v>
      </c>
      <c r="V7" s="1"/>
      <c r="W7" s="1"/>
    </row>
    <row r="8" spans="2:23" x14ac:dyDescent="0.2">
      <c r="B8" s="26">
        <v>46033.6875</v>
      </c>
      <c r="C8" s="27" t="s">
        <v>22</v>
      </c>
      <c r="D8" s="36">
        <v>19</v>
      </c>
      <c r="E8" s="27" t="s">
        <v>45</v>
      </c>
      <c r="F8" s="36">
        <v>23</v>
      </c>
      <c r="G8" s="27">
        <f t="shared" si="0"/>
        <v>-4</v>
      </c>
      <c r="H8" s="27">
        <v>0</v>
      </c>
      <c r="I8" s="28">
        <f>VLOOKUP(C8,'Power Function Model'!$O$6:$P$38,2,FALSE)</f>
        <v>5</v>
      </c>
      <c r="J8" s="28">
        <f>VLOOKUP(E8,'Power Function Model'!$O$6:$P$38,2,FALSE)</f>
        <v>5</v>
      </c>
      <c r="K8" s="28">
        <f>'Power Function Model'!$P$38</f>
        <v>5</v>
      </c>
      <c r="L8" s="28">
        <f t="shared" si="5"/>
        <v>0.66666666666666663</v>
      </c>
      <c r="M8" s="37">
        <f t="shared" si="1"/>
        <v>0.66666666666666663</v>
      </c>
      <c r="N8" s="38" t="str">
        <f t="shared" si="2"/>
        <v>Eagles</v>
      </c>
      <c r="O8" s="47">
        <f t="shared" si="3"/>
        <v>4.8879616390268765</v>
      </c>
      <c r="P8" s="28" t="s">
        <v>45</v>
      </c>
      <c r="Q8" s="58">
        <f t="shared" si="6"/>
        <v>4</v>
      </c>
      <c r="R8" s="1">
        <f t="shared" si="4"/>
        <v>0</v>
      </c>
      <c r="V8" s="1"/>
      <c r="W8" s="1"/>
    </row>
    <row r="9" spans="2:23" x14ac:dyDescent="0.2">
      <c r="B9" s="26">
        <v>46033.833333333336</v>
      </c>
      <c r="C9" s="27" t="s">
        <v>38</v>
      </c>
      <c r="D9" s="36">
        <v>16</v>
      </c>
      <c r="E9" s="27" t="s">
        <v>24</v>
      </c>
      <c r="F9" s="36">
        <v>3</v>
      </c>
      <c r="G9" s="27">
        <f t="shared" si="0"/>
        <v>13</v>
      </c>
      <c r="H9" s="27">
        <v>0</v>
      </c>
      <c r="I9" s="28">
        <f>VLOOKUP(C9,'Power Function Model'!$O$6:$P$38,2,FALSE)</f>
        <v>5</v>
      </c>
      <c r="J9" s="28">
        <f>VLOOKUP(E9,'Power Function Model'!$O$6:$P$38,2,FALSE)</f>
        <v>5</v>
      </c>
      <c r="K9" s="28">
        <f>'Power Function Model'!$P$38</f>
        <v>5</v>
      </c>
      <c r="L9" s="28">
        <f t="shared" si="5"/>
        <v>0.66666666666666663</v>
      </c>
      <c r="M9" s="37">
        <f t="shared" si="1"/>
        <v>0.66666666666666663</v>
      </c>
      <c r="N9" s="38" t="str">
        <f t="shared" si="2"/>
        <v>Patriots</v>
      </c>
      <c r="O9" s="47">
        <f t="shared" si="3"/>
        <v>4.8879616390268765</v>
      </c>
      <c r="P9" s="28" t="s">
        <v>38</v>
      </c>
      <c r="Q9" s="58">
        <f t="shared" si="6"/>
        <v>13</v>
      </c>
      <c r="R9" s="1">
        <f t="shared" si="4"/>
        <v>1</v>
      </c>
      <c r="V9" s="1"/>
      <c r="W9" s="1"/>
    </row>
    <row r="10" spans="2:23" x14ac:dyDescent="0.2">
      <c r="B10" s="26">
        <v>46034.84375</v>
      </c>
      <c r="C10" s="27" t="s">
        <v>37</v>
      </c>
      <c r="D10" s="36">
        <v>6</v>
      </c>
      <c r="E10" s="27" t="s">
        <v>49</v>
      </c>
      <c r="F10" s="36">
        <v>30</v>
      </c>
      <c r="G10" s="27">
        <f t="shared" si="0"/>
        <v>-24</v>
      </c>
      <c r="H10" s="27">
        <v>0</v>
      </c>
      <c r="I10" s="28">
        <f>VLOOKUP(C10,'Power Function Model'!$O$6:$P$38,2,FALSE)</f>
        <v>5</v>
      </c>
      <c r="J10" s="28">
        <f>VLOOKUP(E10,'Power Function Model'!$O$6:$P$38,2,FALSE)</f>
        <v>5</v>
      </c>
      <c r="K10" s="28">
        <f>'Power Function Model'!$P$38</f>
        <v>5</v>
      </c>
      <c r="L10" s="28">
        <f t="shared" si="5"/>
        <v>0.66666666666666663</v>
      </c>
      <c r="M10" s="37">
        <f t="shared" si="1"/>
        <v>0.66666666666666663</v>
      </c>
      <c r="N10" s="38" t="str">
        <f t="shared" si="2"/>
        <v>Steelers</v>
      </c>
      <c r="O10" s="47">
        <f t="shared" si="3"/>
        <v>4.8879616390268765</v>
      </c>
      <c r="P10" s="28" t="s">
        <v>49</v>
      </c>
      <c r="Q10" s="58">
        <f t="shared" si="6"/>
        <v>24</v>
      </c>
      <c r="R10" s="1">
        <f t="shared" si="4"/>
        <v>0</v>
      </c>
    </row>
    <row r="11" spans="2:23" x14ac:dyDescent="0.2">
      <c r="B11" s="26">
        <v>46039.6875</v>
      </c>
      <c r="C11" s="27" t="s">
        <v>42</v>
      </c>
      <c r="D11" s="36">
        <v>33</v>
      </c>
      <c r="E11" s="27" t="s">
        <v>50</v>
      </c>
      <c r="F11" s="36">
        <v>30</v>
      </c>
      <c r="G11" s="27">
        <f t="shared" si="0"/>
        <v>3</v>
      </c>
      <c r="H11" s="27">
        <v>0</v>
      </c>
      <c r="I11" s="28">
        <f>VLOOKUP(C11,'Power Function Model'!$O$6:$P$38,2,FALSE)</f>
        <v>5</v>
      </c>
      <c r="J11" s="28">
        <f>VLOOKUP(E11,'Power Function Model'!$O$6:$P$38,2,FALSE)</f>
        <v>5</v>
      </c>
      <c r="K11" s="28">
        <f>'Power Function Model'!$P$38</f>
        <v>5</v>
      </c>
      <c r="L11" s="28">
        <f t="shared" si="5"/>
        <v>0.66666666666666663</v>
      </c>
      <c r="M11" s="37">
        <f t="shared" si="1"/>
        <v>0.66666666666666663</v>
      </c>
      <c r="N11" s="38" t="str">
        <f t="shared" si="2"/>
        <v>Broncos</v>
      </c>
      <c r="O11" s="47">
        <f t="shared" si="3"/>
        <v>4.8879616390268765</v>
      </c>
      <c r="P11" s="28" t="s">
        <v>42</v>
      </c>
      <c r="Q11" s="58">
        <f t="shared" si="6"/>
        <v>3</v>
      </c>
      <c r="R11" s="1">
        <f t="shared" si="4"/>
        <v>1</v>
      </c>
    </row>
    <row r="12" spans="2:23" x14ac:dyDescent="0.2">
      <c r="B12" s="26">
        <v>46039.833333333336</v>
      </c>
      <c r="C12" s="27" t="s">
        <v>44</v>
      </c>
      <c r="D12" s="36">
        <v>41</v>
      </c>
      <c r="E12" s="27" t="s">
        <v>45</v>
      </c>
      <c r="F12" s="36">
        <v>6</v>
      </c>
      <c r="G12" s="27">
        <f t="shared" si="0"/>
        <v>35</v>
      </c>
      <c r="H12" s="27">
        <v>0</v>
      </c>
      <c r="I12" s="28">
        <f>VLOOKUP(C12,'Power Function Model'!$O$6:$P$38,2,FALSE)</f>
        <v>5</v>
      </c>
      <c r="J12" s="28">
        <f>VLOOKUP(E12,'Power Function Model'!$O$6:$P$38,2,FALSE)</f>
        <v>5</v>
      </c>
      <c r="K12" s="28">
        <f>'Power Function Model'!$P$38</f>
        <v>5</v>
      </c>
      <c r="L12" s="28">
        <f t="shared" si="5"/>
        <v>0.66666666666666663</v>
      </c>
      <c r="M12" s="37">
        <f t="shared" si="1"/>
        <v>0.66666666666666663</v>
      </c>
      <c r="N12" s="38" t="str">
        <f t="shared" si="2"/>
        <v>Seahawks</v>
      </c>
      <c r="O12" s="47">
        <f t="shared" si="3"/>
        <v>4.8879616390268765</v>
      </c>
      <c r="P12" s="28" t="s">
        <v>44</v>
      </c>
      <c r="Q12" s="58">
        <f t="shared" si="6"/>
        <v>35</v>
      </c>
      <c r="R12" s="1">
        <f t="shared" si="4"/>
        <v>1</v>
      </c>
    </row>
    <row r="13" spans="2:23" x14ac:dyDescent="0.2">
      <c r="B13" s="26">
        <v>46040.625</v>
      </c>
      <c r="C13" s="27" t="s">
        <v>52</v>
      </c>
      <c r="D13" s="36">
        <v>17</v>
      </c>
      <c r="E13" s="27" t="s">
        <v>48</v>
      </c>
      <c r="F13" s="36">
        <v>20</v>
      </c>
      <c r="G13" s="27">
        <f t="shared" si="0"/>
        <v>-3</v>
      </c>
      <c r="H13" s="27">
        <v>0</v>
      </c>
      <c r="I13" s="28">
        <f>VLOOKUP(C13,'Power Function Model'!$O$6:$P$38,2,FALSE)</f>
        <v>5</v>
      </c>
      <c r="J13" s="28">
        <f>VLOOKUP(E13,'Power Function Model'!$O$6:$P$38,2,FALSE)</f>
        <v>5</v>
      </c>
      <c r="K13" s="28">
        <f>'Power Function Model'!$P$38</f>
        <v>5</v>
      </c>
      <c r="L13" s="28">
        <f t="shared" si="5"/>
        <v>0.66666666666666663</v>
      </c>
      <c r="M13" s="37">
        <f t="shared" si="1"/>
        <v>0.66666666666666663</v>
      </c>
      <c r="N13" s="38" t="str">
        <f t="shared" si="2"/>
        <v>Bears</v>
      </c>
      <c r="O13" s="47">
        <f t="shared" si="3"/>
        <v>4.8879616390268765</v>
      </c>
      <c r="P13" s="28" t="s">
        <v>48</v>
      </c>
      <c r="Q13" s="58">
        <f t="shared" si="6"/>
        <v>3</v>
      </c>
      <c r="R13" s="1">
        <f t="shared" si="4"/>
        <v>0</v>
      </c>
    </row>
    <row r="14" spans="2:23" x14ac:dyDescent="0.2">
      <c r="B14" s="26">
        <v>46040.770833333336</v>
      </c>
      <c r="C14" s="27" t="s">
        <v>38</v>
      </c>
      <c r="D14" s="36">
        <v>28</v>
      </c>
      <c r="E14" s="27" t="s">
        <v>49</v>
      </c>
      <c r="F14" s="36">
        <v>16</v>
      </c>
      <c r="G14" s="27">
        <f t="shared" si="0"/>
        <v>12</v>
      </c>
      <c r="H14" s="27">
        <v>0</v>
      </c>
      <c r="I14" s="28">
        <f>VLOOKUP(C14,'Power Function Model'!$O$6:$P$38,2,FALSE)</f>
        <v>5</v>
      </c>
      <c r="J14" s="28">
        <f>VLOOKUP(E14,'Power Function Model'!$O$6:$P$38,2,FALSE)</f>
        <v>5</v>
      </c>
      <c r="K14" s="28">
        <f>'Power Function Model'!$P$38</f>
        <v>5</v>
      </c>
      <c r="L14" s="28">
        <f t="shared" si="5"/>
        <v>0.66666666666666663</v>
      </c>
      <c r="M14" s="37">
        <f t="shared" si="1"/>
        <v>0.66666666666666663</v>
      </c>
      <c r="N14" s="38" t="str">
        <f t="shared" si="2"/>
        <v>Patriots</v>
      </c>
      <c r="O14" s="47">
        <f t="shared" si="3"/>
        <v>4.8879616390268765</v>
      </c>
      <c r="P14" s="28" t="s">
        <v>38</v>
      </c>
      <c r="Q14" s="58">
        <f t="shared" si="6"/>
        <v>12</v>
      </c>
      <c r="R14" s="1">
        <f t="shared" si="4"/>
        <v>1</v>
      </c>
    </row>
    <row r="15" spans="2:23" x14ac:dyDescent="0.2">
      <c r="B15" s="26">
        <v>46047.625</v>
      </c>
      <c r="C15" s="27" t="s">
        <v>42</v>
      </c>
      <c r="D15" s="36">
        <v>7</v>
      </c>
      <c r="E15" s="27" t="s">
        <v>38</v>
      </c>
      <c r="F15" s="36">
        <v>10</v>
      </c>
      <c r="G15" s="27">
        <f t="shared" si="0"/>
        <v>-3</v>
      </c>
      <c r="H15" s="27">
        <v>0</v>
      </c>
      <c r="I15" s="28">
        <f>VLOOKUP(C15,'Power Function Model'!$O$6:$P$38,2,FALSE)</f>
        <v>5</v>
      </c>
      <c r="J15" s="28">
        <f>VLOOKUP(E15,'Power Function Model'!$O$6:$P$38,2,FALSE)</f>
        <v>5</v>
      </c>
      <c r="K15" s="28">
        <f>'Power Function Model'!$P$38</f>
        <v>5</v>
      </c>
      <c r="L15" s="28">
        <f t="shared" si="5"/>
        <v>0.66666666666666663</v>
      </c>
      <c r="M15" s="37">
        <f t="shared" si="1"/>
        <v>0.66666666666666663</v>
      </c>
      <c r="N15" s="38" t="str">
        <f t="shared" si="2"/>
        <v>Broncos</v>
      </c>
      <c r="O15" s="47">
        <f t="shared" si="3"/>
        <v>4.8879616390268765</v>
      </c>
      <c r="P15" s="28" t="s">
        <v>38</v>
      </c>
      <c r="Q15" s="58">
        <f t="shared" si="6"/>
        <v>3</v>
      </c>
      <c r="R15" s="1">
        <f t="shared" si="4"/>
        <v>0</v>
      </c>
    </row>
    <row r="16" spans="2:23" x14ac:dyDescent="0.2">
      <c r="B16" s="26">
        <v>46047.770833333336</v>
      </c>
      <c r="C16" s="27" t="s">
        <v>44</v>
      </c>
      <c r="D16" s="36">
        <v>31</v>
      </c>
      <c r="E16" s="27" t="s">
        <v>48</v>
      </c>
      <c r="F16" s="36">
        <v>27</v>
      </c>
      <c r="G16" s="27">
        <f t="shared" si="0"/>
        <v>4</v>
      </c>
      <c r="H16" s="27">
        <v>0</v>
      </c>
      <c r="I16" s="28">
        <f>VLOOKUP(C16,'Power Function Model'!$O$6:$P$38,2,FALSE)</f>
        <v>5</v>
      </c>
      <c r="J16" s="28">
        <f>VLOOKUP(E16,'Power Function Model'!$O$6:$P$38,2,FALSE)</f>
        <v>5</v>
      </c>
      <c r="K16" s="28">
        <f>'Power Function Model'!$P$38</f>
        <v>5</v>
      </c>
      <c r="L16" s="28">
        <f t="shared" si="5"/>
        <v>0.66666666666666663</v>
      </c>
      <c r="M16" s="37">
        <f t="shared" si="1"/>
        <v>0.66666666666666663</v>
      </c>
      <c r="N16" s="38" t="str">
        <f t="shared" si="2"/>
        <v>Seahawks</v>
      </c>
      <c r="O16" s="47">
        <f t="shared" si="3"/>
        <v>4.8879616390268765</v>
      </c>
      <c r="P16" s="28" t="s">
        <v>44</v>
      </c>
      <c r="Q16" s="58">
        <f t="shared" si="6"/>
        <v>4</v>
      </c>
      <c r="R16" s="1">
        <f t="shared" si="4"/>
        <v>1</v>
      </c>
    </row>
    <row r="17" spans="2:18" x14ac:dyDescent="0.2">
      <c r="B17" s="26">
        <v>46061</v>
      </c>
      <c r="C17" s="27" t="s">
        <v>44</v>
      </c>
      <c r="D17" s="36">
        <v>29</v>
      </c>
      <c r="E17" s="27" t="s">
        <v>38</v>
      </c>
      <c r="F17" s="36">
        <v>13</v>
      </c>
      <c r="G17" s="27">
        <f t="shared" si="0"/>
        <v>16</v>
      </c>
      <c r="H17" s="27">
        <v>1</v>
      </c>
      <c r="I17" s="28">
        <f>VLOOKUP(C17,'Power Function Model'!$O$6:$P$38,2,FALSE)</f>
        <v>5</v>
      </c>
      <c r="J17" s="28">
        <f>VLOOKUP(E17,'Power Function Model'!$O$6:$P$38,2,FALSE)</f>
        <v>5</v>
      </c>
      <c r="K17" s="28">
        <v>0</v>
      </c>
      <c r="L17" s="28">
        <f t="shared" si="5"/>
        <v>0.5</v>
      </c>
      <c r="M17" s="37">
        <f t="shared" si="1"/>
        <v>0.5</v>
      </c>
      <c r="N17" s="38" t="str">
        <f t="shared" si="2"/>
        <v>Patriots</v>
      </c>
      <c r="O17" s="47">
        <f t="shared" si="3"/>
        <v>0</v>
      </c>
      <c r="P17" s="28" t="s">
        <v>44</v>
      </c>
      <c r="Q17" s="58">
        <f t="shared" si="6"/>
        <v>16</v>
      </c>
      <c r="R17" s="1">
        <f t="shared" si="4"/>
        <v>0</v>
      </c>
    </row>
    <row r="19" spans="2:18" x14ac:dyDescent="0.2">
      <c r="M19" s="50">
        <f>SUM(M5:M17)</f>
        <v>8.5</v>
      </c>
      <c r="R19">
        <f>SUM(R5:R17)</f>
        <v>6</v>
      </c>
    </row>
    <row r="20" spans="2:18" x14ac:dyDescent="0.2">
      <c r="M20" s="34"/>
      <c r="O20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 Function Model</vt:lpstr>
      <vt:lpstr>Rankings</vt:lpstr>
      <vt:lpstr>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Kissell</dc:creator>
  <cp:lastModifiedBy>Ruvins, Aidan</cp:lastModifiedBy>
  <dcterms:created xsi:type="dcterms:W3CDTF">2025-12-08T01:41:04Z</dcterms:created>
  <dcterms:modified xsi:type="dcterms:W3CDTF">2026-02-12T18:50:45Z</dcterms:modified>
</cp:coreProperties>
</file>